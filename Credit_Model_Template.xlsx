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Inputs" sheetId="2" state="visible" r:id="rId4"/>
    <sheet name="IS" sheetId="3" state="visible" r:id="rId5"/>
    <sheet name="BS" sheetId="4" state="visible" r:id="rId6"/>
    <sheet name="CF" sheetId="5" state="visible" r:id="rId7"/>
    <sheet name="Ratios" sheetId="6" state="visible" r:id="rId8"/>
    <sheet name="Assumptions" sheetId="7" state="visible" r:id="rId9"/>
    <sheet name="Scenarios" sheetId="8" state="visible" r:id="rId10"/>
    <sheet name="Memo not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<sst xmlns="http://schemas.openxmlformats.org/spreadsheetml/2006/main" count="289" uniqueCount="210">
  <si>
    <t xml:space="preserve">Credit Model Template - PT Contoh Sejahtera (fictional)</t>
  </si>
  <si>
    <t xml:space="preserve">Phase 1 exercise: rebuild the refresher's worked example with formulas only. Units: IDR million.</t>
  </si>
  <si>
    <t xml:space="preserve">How to use this workbook</t>
  </si>
  <si>
    <t xml:space="preserve">1</t>
  </si>
  <si>
    <t xml:space="preserve">Go to the Inputs sheet and type the raw figures from the refresher (Block 2) into the yellow cells. Nothing else should be typed as a number.</t>
  </si>
  <si>
    <t xml:space="preserve">2</t>
  </si>
  <si>
    <t xml:space="preserve">On IS, BS, CF and Ratios, write a formula in every grey cell (columns B to D). Column E gives a hint for each row.</t>
  </si>
  <si>
    <t xml:space="preserve">3</t>
  </si>
  <si>
    <t xml:space="preserve">Link to other sheets with formulas such as =Inputs!B7, never by typing the number. Optional: colour cross-sheet links green.</t>
  </si>
  <si>
    <t xml:space="preserve">4</t>
  </si>
  <si>
    <t xml:space="preserve">Read column I (Status). OK means your result matches the refresher's figure in columns F to H. Check means something is different.</t>
  </si>
  <si>
    <t xml:space="preserve">5</t>
  </si>
  <si>
    <t xml:space="preserve">Test your model: change one input (for example Year 3 revenue). Every ratio and the cash flow should update. Then change it back.</t>
  </si>
  <si>
    <t xml:space="preserve">Colour legend</t>
  </si>
  <si>
    <t xml:space="preserve">Yellow fill, blue text</t>
  </si>
  <si>
    <t xml:space="preserve">Type a number here (input).</t>
  </si>
  <si>
    <t xml:space="preserve">Grey fill</t>
  </si>
  <si>
    <t xml:space="preserve">Write a formula here.</t>
  </si>
  <si>
    <t xml:space="preserve">Blue text</t>
  </si>
  <si>
    <t xml:space="preserve">A hard-coded number (an input or a target typed from the refresher).</t>
  </si>
  <si>
    <t xml:space="preserve">Black text</t>
  </si>
  <si>
    <t xml:space="preserve">A formula.</t>
  </si>
  <si>
    <t xml:space="preserve">Targets (columns F to H)</t>
  </si>
  <si>
    <t xml:space="preserve">Figures taken from the refresher's worked example, so you can self-check. Source: Financial_Statement_Analysis_Refresher.docx, Block 2 (fictional data).</t>
  </si>
  <si>
    <t xml:space="preserve">Tol. (column J)</t>
  </si>
  <si>
    <t xml:space="preserve">How far your number can differ from the target and still count as OK. Needed because the refresher rounds its ratios.</t>
  </si>
  <si>
    <t xml:space="preserve">Self-check summary</t>
  </si>
  <si>
    <t xml:space="preserve">Rows matching the refresher</t>
  </si>
  <si>
    <t xml:space="preserve">Rows that need checking</t>
  </si>
  <si>
    <t xml:space="preserve">Balance sheet balances (years)</t>
  </si>
  <si>
    <t xml:space="preserve">Closing cash ties to balance sheet (years)</t>
  </si>
  <si>
    <t xml:space="preserve">Later phases</t>
  </si>
  <si>
    <t xml:space="preserve">Assumptions, Scenarios, Memo notes</t>
  </si>
  <si>
    <t xml:space="preserve">Empty scaffolds for Phase 2 (forecast and stress tests) and the memo. Leave them until the four statement sheets show OK.</t>
  </si>
  <si>
    <t xml:space="preserve">Inputs - raw figures only (IDR million)</t>
  </si>
  <si>
    <t xml:space="preserve">Type figures only in the yellow cells. Everything else in the workbook should be a formula.</t>
  </si>
  <si>
    <t xml:space="preserve">Line item</t>
  </si>
  <si>
    <t xml:space="preserve">Year 1</t>
  </si>
  <si>
    <t xml:space="preserve">Year 2</t>
  </si>
  <si>
    <t xml:space="preserve">Year 3</t>
  </si>
  <si>
    <t xml:space="preserve">Note</t>
  </si>
  <si>
    <t xml:space="preserve">EXAMPLE ROW - ignore: Other income</t>
  </si>
  <si>
    <t xml:space="preserve">Shows the expected number format only (invented values, not part of the case). Delete the row if you like.</t>
  </si>
  <si>
    <t xml:space="preserve">Income statement</t>
  </si>
  <si>
    <t xml:space="preserve">Revenue</t>
  </si>
  <si>
    <t xml:space="preserve">Cost of goods sold</t>
  </si>
  <si>
    <t xml:space="preserve">Operating expenses (incl. depreciation)</t>
  </si>
  <si>
    <t xml:space="preserve">Depreciation (included in operating expenses)</t>
  </si>
  <si>
    <t xml:space="preserve">Interest expense</t>
  </si>
  <si>
    <t xml:space="preserve">Tax rate</t>
  </si>
  <si>
    <t xml:space="preserve">Same rate each year in this example</t>
  </si>
  <si>
    <t xml:space="preserve">Balance sheet</t>
  </si>
  <si>
    <t xml:space="preserve">Cash</t>
  </si>
  <si>
    <t xml:space="preserve">Receivables</t>
  </si>
  <si>
    <t xml:space="preserve">Inventory</t>
  </si>
  <si>
    <t xml:space="preserve">Fixed assets (net)</t>
  </si>
  <si>
    <t xml:space="preserve">Trade payables</t>
  </si>
  <si>
    <t xml:space="preserve">Short-term bank debt</t>
  </si>
  <si>
    <t xml:space="preserve">Long-term bank debt</t>
  </si>
  <si>
    <t xml:space="preserve">Total equity</t>
  </si>
  <si>
    <t xml:space="preserve">Convention</t>
  </si>
  <si>
    <t xml:space="preserve">Days in year</t>
  </si>
  <si>
    <t xml:space="preserve">Used for DSO, DIO and DPO, as in the refresher (practice questions use 365 days).</t>
  </si>
  <si>
    <t xml:space="preserve">Write a formula in every grey cell. IDR million.</t>
  </si>
  <si>
    <t xml:space="preserve">Formula hint</t>
  </si>
  <si>
    <t xml:space="preserve">Target Y1</t>
  </si>
  <si>
    <t xml:space="preserve">Target Y2</t>
  </si>
  <si>
    <t xml:space="preserve">Target Y3</t>
  </si>
  <si>
    <t xml:space="preserve">Status</t>
  </si>
  <si>
    <t xml:space="preserve">Tol.</t>
  </si>
  <si>
    <t xml:space="preserve">Link: =Inputs!B7</t>
  </si>
  <si>
    <t xml:space="preserve">Link: =Inputs!B8</t>
  </si>
  <si>
    <t xml:space="preserve">Gross profit</t>
  </si>
  <si>
    <t xml:space="preserve">Revenue - COGS</t>
  </si>
  <si>
    <t xml:space="preserve">Link: =Inputs!B9</t>
  </si>
  <si>
    <t xml:space="preserve">EBIT</t>
  </si>
  <si>
    <t xml:space="preserve">Gross profit - Operating expenses</t>
  </si>
  <si>
    <t xml:space="preserve">Link: =Inputs!B11</t>
  </si>
  <si>
    <t xml:space="preserve">Profit before tax</t>
  </si>
  <si>
    <t xml:space="preserve">EBIT - Interest expense</t>
  </si>
  <si>
    <t xml:space="preserve">Tax</t>
  </si>
  <si>
    <t xml:space="preserve">Profit before tax x tax rate (Inputs row 12)</t>
  </si>
  <si>
    <t xml:space="preserve">Net profit</t>
  </si>
  <si>
    <t xml:space="preserve">Profit before tax - Tax</t>
  </si>
  <si>
    <t xml:space="preserve">Depreciation (included above)</t>
  </si>
  <si>
    <t xml:space="preserve">Link: =Inputs!B10</t>
  </si>
  <si>
    <t xml:space="preserve">EBITDA</t>
  </si>
  <si>
    <t xml:space="preserve">EBIT + Depreciation</t>
  </si>
  <si>
    <t xml:space="preserve">Link: =Inputs!B15</t>
  </si>
  <si>
    <t xml:space="preserve">Link: =Inputs!B16</t>
  </si>
  <si>
    <t xml:space="preserve">Link: =Inputs!B17</t>
  </si>
  <si>
    <t xml:space="preserve">Total current assets</t>
  </si>
  <si>
    <t xml:space="preserve">Cash + Receivables + Inventory</t>
  </si>
  <si>
    <t xml:space="preserve">Link: =Inputs!B18</t>
  </si>
  <si>
    <t xml:space="preserve">Total assets</t>
  </si>
  <si>
    <t xml:space="preserve">Current assets + Fixed assets</t>
  </si>
  <si>
    <t xml:space="preserve">Link: =Inputs!B19</t>
  </si>
  <si>
    <t xml:space="preserve">Link: =Inputs!B20</t>
  </si>
  <si>
    <t xml:space="preserve">Total current liabilities</t>
  </si>
  <si>
    <t xml:space="preserve">Trade payables + Short-term bank debt</t>
  </si>
  <si>
    <t xml:space="preserve">Link: =Inputs!B21</t>
  </si>
  <si>
    <t xml:space="preserve">Total liabilities</t>
  </si>
  <si>
    <t xml:space="preserve">Current liabilities + Long-term bank debt</t>
  </si>
  <si>
    <t xml:space="preserve">Link: =Inputs!B22</t>
  </si>
  <si>
    <t xml:space="preserve">Total liabilities + equity</t>
  </si>
  <si>
    <t xml:space="preserve">Total liabilities + Total equity</t>
  </si>
  <si>
    <t xml:space="preserve">Check: assets = liabilities + equity</t>
  </si>
  <si>
    <t xml:space="preserve">Pre-built. If it does not say OK, a balance sheet line is wrong.</t>
  </si>
  <si>
    <t xml:space="preserve">Cash flow statement (indirect method)</t>
  </si>
  <si>
    <t xml:space="preserve">Years 2 and 3. Write a formula in every grey cell. IDR million.</t>
  </si>
  <si>
    <t xml:space="preserve">n/a</t>
  </si>
  <si>
    <t xml:space="preserve">Link to income statement</t>
  </si>
  <si>
    <t xml:space="preserve">+ Depreciation</t>
  </si>
  <si>
    <t xml:space="preserve">Non-cash, added back</t>
  </si>
  <si>
    <t xml:space="preserve">- Increase in receivables</t>
  </si>
  <si>
    <t xml:space="preserve">-(Receivables this year - last year)</t>
  </si>
  <si>
    <t xml:space="preserve">- Increase in inventory</t>
  </si>
  <si>
    <t xml:space="preserve">-(Inventory this year - last year)</t>
  </si>
  <si>
    <t xml:space="preserve">+ Increase in trade payables</t>
  </si>
  <si>
    <t xml:space="preserve">Payables this year - last year</t>
  </si>
  <si>
    <t xml:space="preserve">Operating cash flow (CFO)</t>
  </si>
  <si>
    <t xml:space="preserve">Sum of the five lines above</t>
  </si>
  <si>
    <t xml:space="preserve">Capex</t>
  </si>
  <si>
    <t xml:space="preserve">-(Change in net fixed assets + Depreciation)</t>
  </si>
  <si>
    <t xml:space="preserve">Investing cash flow (CFI)</t>
  </si>
  <si>
    <t xml:space="preserve">Equal to capex in this example</t>
  </si>
  <si>
    <t xml:space="preserve">Net change in bank debt (ST + LT)</t>
  </si>
  <si>
    <t xml:space="preserve">Change in short-term + long-term bank debt</t>
  </si>
  <si>
    <t xml:space="preserve">Dividends</t>
  </si>
  <si>
    <t xml:space="preserve">-(Net profit - Increase in equity)</t>
  </si>
  <si>
    <t xml:space="preserve">Financing cash flow (CFF)</t>
  </si>
  <si>
    <t xml:space="preserve">Bank debt change + Dividends</t>
  </si>
  <si>
    <t xml:space="preserve">Net change in cash</t>
  </si>
  <si>
    <t xml:space="preserve">CFO + CFI + CFF</t>
  </si>
  <si>
    <t xml:space="preserve">Opening cash</t>
  </si>
  <si>
    <t xml:space="preserve">Last year's cash on the balance sheet</t>
  </si>
  <si>
    <t xml:space="preserve">Closing cash</t>
  </si>
  <si>
    <t xml:space="preserve">Opening cash + Net change in cash</t>
  </si>
  <si>
    <t xml:space="preserve">Cash per balance sheet</t>
  </si>
  <si>
    <t xml:space="preserve">Link to balance sheet</t>
  </si>
  <si>
    <t xml:space="preserve">Check: closing cash = balance sheet cash</t>
  </si>
  <si>
    <t xml:space="preserve">Pre-built. Years 2 and 3 only: Year 1 needs a Year 0 balance sheet.</t>
  </si>
  <si>
    <t xml:space="preserve">Credit ratios</t>
  </si>
  <si>
    <t xml:space="preserve">Write a formula in every grey cell, using the days-in-year cell on Inputs. Ratios are rounded in the refresher, hence the tolerance.</t>
  </si>
  <si>
    <t xml:space="preserve">Revenue growth</t>
  </si>
  <si>
    <t xml:space="preserve">Revenue / last year's revenue - 1</t>
  </si>
  <si>
    <t xml:space="preserve">Gross margin</t>
  </si>
  <si>
    <t xml:space="preserve">Gross profit / Revenue</t>
  </si>
  <si>
    <t xml:space="preserve">Net margin</t>
  </si>
  <si>
    <t xml:space="preserve">Net profit / Revenue</t>
  </si>
  <si>
    <t xml:space="preserve">Current ratio</t>
  </si>
  <si>
    <t xml:space="preserve">Current assets / Current liabilities</t>
  </si>
  <si>
    <t xml:space="preserve">Quick ratio</t>
  </si>
  <si>
    <t xml:space="preserve">(Current assets - Inventory) / Current liabilities</t>
  </si>
  <si>
    <t xml:space="preserve">Total debt</t>
  </si>
  <si>
    <t xml:space="preserve">Short-term + Long-term bank debt</t>
  </si>
  <si>
    <t xml:space="preserve">Debt / EBITDA</t>
  </si>
  <si>
    <t xml:space="preserve">Total debt / EBITDA</t>
  </si>
  <si>
    <t xml:space="preserve">Debt to equity</t>
  </si>
  <si>
    <t xml:space="preserve">Total debt / Total equity</t>
  </si>
  <si>
    <t xml:space="preserve">Interest coverage</t>
  </si>
  <si>
    <t xml:space="preserve">EBIT / Interest expense</t>
  </si>
  <si>
    <t xml:space="preserve">DSO (days)</t>
  </si>
  <si>
    <t xml:space="preserve">Receivables / Revenue x days in year</t>
  </si>
  <si>
    <t xml:space="preserve">DIO (days)</t>
  </si>
  <si>
    <t xml:space="preserve">Inventory / COGS x days in year</t>
  </si>
  <si>
    <t xml:space="preserve">DPO (days)</t>
  </si>
  <si>
    <t xml:space="preserve">Payables / COGS x days in year</t>
  </si>
  <si>
    <t xml:space="preserve">Cash conversion cycle (days)</t>
  </si>
  <si>
    <t xml:space="preserve">DSO + DIO - DPO</t>
  </si>
  <si>
    <t xml:space="preserve">Assumptions - Phase 2 (leave empty for now)</t>
  </si>
  <si>
    <t xml:space="preserve">Every driver of the forecast lives here. Add one line of justification per driver (history, sector, management plan).</t>
  </si>
  <si>
    <t xml:space="preserve">Driver</t>
  </si>
  <si>
    <t xml:space="preserve">Base</t>
  </si>
  <si>
    <t xml:space="preserve">Downside</t>
  </si>
  <si>
    <t xml:space="preserve">Severe</t>
  </si>
  <si>
    <t xml:space="preserve">Justification</t>
  </si>
  <si>
    <t xml:space="preserve">Operating expenses growth</t>
  </si>
  <si>
    <t xml:space="preserve">Dividend payout ratio</t>
  </si>
  <si>
    <t xml:space="preserve">Interest rate on bank debt</t>
  </si>
  <si>
    <t xml:space="preserve">Active scenario (1 = Base, 2 = Downside, 3 = Severe)</t>
  </si>
  <si>
    <t xml:space="preserve">Scenario results - Phase 2 (leave empty for now)</t>
  </si>
  <si>
    <t xml:space="preserve">One column per scenario, all driven from the Assumptions sheet. IDR million unless stated.</t>
  </si>
  <si>
    <t xml:space="preserve">Output</t>
  </si>
  <si>
    <t xml:space="preserve">Comment</t>
  </si>
  <si>
    <t xml:space="preserve">DSCR</t>
  </si>
  <si>
    <t xml:space="preserve">Extra funding needed (cash shortfall)</t>
  </si>
  <si>
    <t xml:space="preserve">Break-even sales decline at DSCR = 1.0x</t>
  </si>
  <si>
    <t xml:space="preserve">Decision rule (write it in words): approve if ..., approve with conditions if ..., decline if ...</t>
  </si>
  <si>
    <t xml:space="preserve">Memo notes</t>
  </si>
  <si>
    <t xml:space="preserve">Draft your points here, one section at a time. Lead with the recommendation. Every number needs a 'so what'.</t>
  </si>
  <si>
    <t xml:space="preserve">Section</t>
  </si>
  <si>
    <t xml:space="preserve">Your notes</t>
  </si>
  <si>
    <t xml:space="preserve">What to include</t>
  </si>
  <si>
    <t xml:space="preserve">1. Request summary</t>
  </si>
  <si>
    <t xml:space="preserve">Borrower, facility type and amount, tenor, purpose, repayment source, recommendation</t>
  </si>
  <si>
    <t xml:space="preserve">2. Business overview</t>
  </si>
  <si>
    <t xml:space="preserve">What the company does, ownership and management, customers, suppliers, industry position</t>
  </si>
  <si>
    <t xml:space="preserve">3. Financial analysis</t>
  </si>
  <si>
    <t xml:space="preserve">Three-year table, key ratios, 3 to 5 sentences on the main trends</t>
  </si>
  <si>
    <t xml:space="preserve">4. Cash flow and repayment capacity</t>
  </si>
  <si>
    <t xml:space="preserve">Operating cash flow, DSCR or equivalent, simple stress test</t>
  </si>
  <si>
    <t xml:space="preserve">5. Risks and mitigants</t>
  </si>
  <si>
    <t xml:space="preserve">Each main risk paired with how it is reduced (covenants, security, limits, monitoring)</t>
  </si>
  <si>
    <t xml:space="preserve">6. Security and collateral</t>
  </si>
  <si>
    <t xml:space="preserve">Type, value, how easily it can be realized</t>
  </si>
  <si>
    <t xml:space="preserve">7. Credit history and due diligence</t>
  </si>
  <si>
    <t xml:space="preserve">Bureau results, legal document checks, red flags found</t>
  </si>
  <si>
    <t xml:space="preserve">8. Recommendation and conditions</t>
  </si>
  <si>
    <t xml:space="preserve">Decision, amount, tenor, pricing if relevant, conditions precedent or covenants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</si>
</sst>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General"/>
    <numFmt numFmtId="166" formatCode="#,##0;\(#,##0\);\-"/>
    <numFmt numFmtId="167" formatCode="0.0%;\(0.0%\);\-"/>
    <numFmt numFmtId="168" formatCode="0"/>
    <numFmt numFmtId="169" formatCode="0.00"/>
    <numFmt numFmtId="170" formatCode="0.00\x"/>
    <numFmt numFmtId="171" formatCode="0.0\x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EDEDED"/>
      </patternFill>
    </fill>
    <fill>
      <patternFill patternType="solid">
        <fgColor rgb="FFFFFF00"/>
        <bgColor rgb="FFFFFF00"/>
      </patternFill>
    </fill>
    <fill>
      <patternFill patternType="solid">
        <fgColor rgb="FFEDEDED"/>
        <bgColor rgb="FFD9E1F2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EDEDED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23.85" hidden="false" customHeight="false" outlineLevel="0" collapsed="false">
      <c r="A5" s="5" t="s">
        <v>3</v>
      </c>
      <c r="B5" s="6" t="s">
        <v>4</v>
      </c>
    </row>
    <row r="6" customFormat="false" ht="15" hidden="false" customHeight="false" outlineLevel="0" collapsed="false">
      <c r="A6" s="5" t="s">
        <v>5</v>
      </c>
      <c r="B6" s="6" t="s">
        <v>6</v>
      </c>
    </row>
    <row r="7" customFormat="false" ht="23.85" hidden="false" customHeight="false" outlineLevel="0" collapsed="false">
      <c r="A7" s="5" t="s">
        <v>7</v>
      </c>
      <c r="B7" s="6" t="s">
        <v>8</v>
      </c>
    </row>
    <row r="8" customFormat="false" ht="23.85" hidden="false" customHeight="false" outlineLevel="0" collapsed="false">
      <c r="A8" s="5" t="s">
        <v>9</v>
      </c>
      <c r="B8" s="6" t="s">
        <v>10</v>
      </c>
    </row>
    <row r="9" customFormat="false" ht="23.85" hidden="false" customHeight="false" outlineLevel="0" collapsed="false">
      <c r="A9" s="5" t="s">
        <v>11</v>
      </c>
      <c r="B9" s="6" t="s">
        <v>12</v>
      </c>
    </row>
    <row r="10" customFormat="false" ht="15" hidden="false" customHeight="false" outlineLevel="0" collapsed="false">
      <c r="A10" s="3" t="s">
        <v>13</v>
      </c>
      <c r="B10" s="4"/>
    </row>
    <row r="11" customFormat="false" ht="15" hidden="false" customHeight="false" outlineLevel="0" collapsed="false">
      <c r="A11" s="7" t="s">
        <v>14</v>
      </c>
      <c r="B11" s="6" t="s">
        <v>15</v>
      </c>
    </row>
    <row r="12" customFormat="false" ht="15" hidden="false" customHeight="false" outlineLevel="0" collapsed="false">
      <c r="A12" s="8" t="s">
        <v>16</v>
      </c>
      <c r="B12" s="6" t="s">
        <v>17</v>
      </c>
    </row>
    <row r="13" customFormat="false" ht="15" hidden="false" customHeight="false" outlineLevel="0" collapsed="false">
      <c r="A13" s="9" t="s">
        <v>18</v>
      </c>
      <c r="B13" s="6" t="s">
        <v>19</v>
      </c>
    </row>
    <row r="14" customFormat="false" ht="15" hidden="false" customHeight="false" outlineLevel="0" collapsed="false">
      <c r="A14" s="5" t="s">
        <v>20</v>
      </c>
      <c r="B14" s="6" t="s">
        <v>21</v>
      </c>
    </row>
    <row r="15" customFormat="false" ht="23.85" hidden="false" customHeight="false" outlineLevel="0" collapsed="false">
      <c r="A15" s="5" t="s">
        <v>22</v>
      </c>
      <c r="B15" s="6" t="s">
        <v>23</v>
      </c>
    </row>
    <row r="16" customFormat="false" ht="15" hidden="false" customHeight="false" outlineLevel="0" collapsed="false">
      <c r="A16" s="5" t="s">
        <v>24</v>
      </c>
      <c r="B16" s="6" t="s">
        <v>25</v>
      </c>
    </row>
    <row r="17" customFormat="false" ht="15" hidden="false" customHeight="false" outlineLevel="0" collapsed="false">
      <c r="A17" s="3" t="s">
        <v>26</v>
      </c>
      <c r="B17" s="4"/>
    </row>
    <row r="18" customFormat="false" ht="15" hidden="false" customHeight="false" outlineLevel="0" collapsed="false">
      <c r="A18" s="10" t="s">
        <v>27</v>
      </c>
      <c r="B18" s="11" t="n">
        <f aca="false">COUNTIF(IS!I5:I15,"OK")+COUNTIF(BS!I5:I17,"OK")+COUNTIF(CF!I5:I19,"OK")+COUNTIF(Ratios!I5:I17,"OK")</f>
        <v>0</v>
      </c>
    </row>
    <row r="19" customFormat="false" ht="15" hidden="false" customHeight="false" outlineLevel="0" collapsed="false">
      <c r="A19" s="10" t="s">
        <v>28</v>
      </c>
      <c r="B19" s="11" t="n">
        <f aca="false">COUNTIF(IS!I5:I15,"Check")+COUNTIF(BS!I5:I17,"Check")+COUNTIF(CF!I5:I19,"Check")+COUNTIF(Ratios!I5:I17,"Check")</f>
        <v>0</v>
      </c>
    </row>
    <row r="20" customFormat="false" ht="15" hidden="false" customHeight="false" outlineLevel="0" collapsed="false">
      <c r="A20" s="10" t="s">
        <v>29</v>
      </c>
      <c r="B20" s="11" t="str">
        <f aca="false">COUNTIF(BS!B19:D19,"OK")&amp;" of 3"</f>
        <v>0 of 3</v>
      </c>
    </row>
    <row r="21" customFormat="false" ht="15" hidden="false" customHeight="false" outlineLevel="0" collapsed="false">
      <c r="A21" s="10" t="s">
        <v>30</v>
      </c>
      <c r="B21" s="11" t="str">
        <f aca="false">COUNTIF(CF!C20:D20,"OK")&amp;" of 2"</f>
        <v>0 of 2</v>
      </c>
    </row>
    <row r="23" customFormat="false" ht="15" hidden="false" customHeight="false" outlineLevel="0" collapsed="false">
      <c r="A23" s="12" t="s">
        <v>31</v>
      </c>
    </row>
    <row r="24" customFormat="false" ht="23.85" hidden="false" customHeight="false" outlineLevel="0" collapsed="false">
      <c r="A24" s="10" t="s">
        <v>32</v>
      </c>
      <c r="B24" s="13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3"/>
    <col collapsed="false" customWidth="true" hidden="false" outlineLevel="0" max="5" min="5" style="0" width="80"/>
  </cols>
  <sheetData>
    <row r="1" customFormat="false" ht="17.35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4" customFormat="false" ht="30" hidden="false" customHeight="true" outlineLevel="0" collapsed="false">
      <c r="A4" s="14" t="s">
        <v>36</v>
      </c>
      <c r="B4" s="15" t="s">
        <v>37</v>
      </c>
      <c r="C4" s="15" t="s">
        <v>38</v>
      </c>
      <c r="D4" s="15" t="s">
        <v>39</v>
      </c>
      <c r="E4" s="15" t="s">
        <v>40</v>
      </c>
    </row>
    <row r="5" customFormat="false" ht="15" hidden="false" customHeight="false" outlineLevel="0" collapsed="false">
      <c r="A5" s="2" t="s">
        <v>41</v>
      </c>
      <c r="B5" s="16" t="n">
        <v>120</v>
      </c>
      <c r="C5" s="16" t="n">
        <v>130</v>
      </c>
      <c r="D5" s="16" t="n">
        <v>150</v>
      </c>
      <c r="E5" s="2" t="s">
        <v>42</v>
      </c>
    </row>
    <row r="6" customFormat="false" ht="15" hidden="false" customHeight="false" outlineLevel="0" collapsed="false">
      <c r="A6" s="17" t="s">
        <v>43</v>
      </c>
      <c r="B6" s="4"/>
      <c r="C6" s="4"/>
      <c r="D6" s="4"/>
      <c r="E6" s="4"/>
    </row>
    <row r="7" customFormat="false" ht="15" hidden="false" customHeight="false" outlineLevel="0" collapsed="false">
      <c r="A7" s="18" t="s">
        <v>44</v>
      </c>
      <c r="B7" s="19"/>
      <c r="C7" s="19"/>
      <c r="D7" s="19"/>
      <c r="E7" s="2"/>
    </row>
    <row r="8" customFormat="false" ht="15" hidden="false" customHeight="false" outlineLevel="0" collapsed="false">
      <c r="A8" s="18" t="s">
        <v>45</v>
      </c>
      <c r="B8" s="19"/>
      <c r="C8" s="19"/>
      <c r="D8" s="19"/>
      <c r="E8" s="2"/>
    </row>
    <row r="9" customFormat="false" ht="15" hidden="false" customHeight="false" outlineLevel="0" collapsed="false">
      <c r="A9" s="18" t="s">
        <v>46</v>
      </c>
      <c r="B9" s="19"/>
      <c r="C9" s="19"/>
      <c r="D9" s="19"/>
      <c r="E9" s="2"/>
    </row>
    <row r="10" customFormat="false" ht="15" hidden="false" customHeight="false" outlineLevel="0" collapsed="false">
      <c r="A10" s="18" t="s">
        <v>47</v>
      </c>
      <c r="B10" s="19"/>
      <c r="C10" s="19"/>
      <c r="D10" s="19"/>
      <c r="E10" s="2"/>
    </row>
    <row r="11" customFormat="false" ht="15" hidden="false" customHeight="false" outlineLevel="0" collapsed="false">
      <c r="A11" s="18" t="s">
        <v>48</v>
      </c>
      <c r="B11" s="19"/>
      <c r="C11" s="19"/>
      <c r="D11" s="19"/>
      <c r="E11" s="2"/>
    </row>
    <row r="12" customFormat="false" ht="15" hidden="false" customHeight="false" outlineLevel="0" collapsed="false">
      <c r="A12" s="18" t="s">
        <v>49</v>
      </c>
      <c r="B12" s="20"/>
      <c r="C12" s="20"/>
      <c r="D12" s="20"/>
      <c r="E12" s="2" t="s">
        <v>50</v>
      </c>
    </row>
    <row r="14" customFormat="false" ht="15" hidden="false" customHeight="false" outlineLevel="0" collapsed="false">
      <c r="A14" s="17" t="s">
        <v>51</v>
      </c>
      <c r="B14" s="4"/>
      <c r="C14" s="4"/>
      <c r="D14" s="4"/>
      <c r="E14" s="4"/>
    </row>
    <row r="15" customFormat="false" ht="15" hidden="false" customHeight="false" outlineLevel="0" collapsed="false">
      <c r="A15" s="18" t="s">
        <v>52</v>
      </c>
      <c r="B15" s="19"/>
      <c r="C15" s="19"/>
      <c r="D15" s="19"/>
      <c r="E15" s="2"/>
    </row>
    <row r="16" customFormat="false" ht="15" hidden="false" customHeight="false" outlineLevel="0" collapsed="false">
      <c r="A16" s="18" t="s">
        <v>53</v>
      </c>
      <c r="B16" s="19"/>
      <c r="C16" s="19"/>
      <c r="D16" s="19"/>
      <c r="E16" s="2"/>
    </row>
    <row r="17" customFormat="false" ht="15" hidden="false" customHeight="false" outlineLevel="0" collapsed="false">
      <c r="A17" s="18" t="s">
        <v>54</v>
      </c>
      <c r="B17" s="19"/>
      <c r="C17" s="19"/>
      <c r="D17" s="19"/>
      <c r="E17" s="2"/>
    </row>
    <row r="18" customFormat="false" ht="15" hidden="false" customHeight="false" outlineLevel="0" collapsed="false">
      <c r="A18" s="18" t="s">
        <v>55</v>
      </c>
      <c r="B18" s="19"/>
      <c r="C18" s="19"/>
      <c r="D18" s="19"/>
      <c r="E18" s="2"/>
    </row>
    <row r="19" customFormat="false" ht="15" hidden="false" customHeight="false" outlineLevel="0" collapsed="false">
      <c r="A19" s="18" t="s">
        <v>56</v>
      </c>
      <c r="B19" s="19"/>
      <c r="C19" s="19"/>
      <c r="D19" s="19"/>
      <c r="E19" s="2"/>
    </row>
    <row r="20" customFormat="false" ht="15" hidden="false" customHeight="false" outlineLevel="0" collapsed="false">
      <c r="A20" s="18" t="s">
        <v>57</v>
      </c>
      <c r="B20" s="19"/>
      <c r="C20" s="19"/>
      <c r="D20" s="19"/>
      <c r="E20" s="2"/>
    </row>
    <row r="21" customFormat="false" ht="15" hidden="false" customHeight="false" outlineLevel="0" collapsed="false">
      <c r="A21" s="18" t="s">
        <v>58</v>
      </c>
      <c r="B21" s="19"/>
      <c r="C21" s="19"/>
      <c r="D21" s="19"/>
      <c r="E21" s="2"/>
    </row>
    <row r="22" customFormat="false" ht="15" hidden="false" customHeight="false" outlineLevel="0" collapsed="false">
      <c r="A22" s="18" t="s">
        <v>59</v>
      </c>
      <c r="B22" s="19"/>
      <c r="C22" s="19"/>
      <c r="D22" s="19"/>
      <c r="E22" s="2"/>
    </row>
    <row r="24" customFormat="false" ht="15" hidden="false" customHeight="false" outlineLevel="0" collapsed="false">
      <c r="A24" s="17" t="s">
        <v>60</v>
      </c>
      <c r="B24" s="4"/>
      <c r="C24" s="4"/>
      <c r="D24" s="4"/>
      <c r="E24" s="4"/>
    </row>
    <row r="25" customFormat="false" ht="15" hidden="false" customHeight="false" outlineLevel="0" collapsed="false">
      <c r="A25" s="18" t="s">
        <v>61</v>
      </c>
      <c r="B25" s="21" t="n">
        <v>365</v>
      </c>
      <c r="E25" s="2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3"/>
    <col collapsed="false" customWidth="true" hidden="false" outlineLevel="0" max="5" min="5" style="0" width="52"/>
    <col collapsed="false" customWidth="true" hidden="false" outlineLevel="0" max="8" min="6" style="0" width="11"/>
    <col collapsed="false" customWidth="true" hidden="false" outlineLevel="0" max="9" min="9" style="0" width="10"/>
    <col collapsed="false" customWidth="true" hidden="false" outlineLevel="0" max="10" min="10" style="0" width="7"/>
  </cols>
  <sheetData>
    <row r="1" customFormat="false" ht="17.35" hidden="false" customHeight="false" outlineLevel="0" collapsed="false">
      <c r="A1" s="1" t="s">
        <v>43</v>
      </c>
    </row>
    <row r="2" customFormat="false" ht="15" hidden="false" customHeight="false" outlineLevel="0" collapsed="false">
      <c r="A2" s="2" t="s">
        <v>63</v>
      </c>
    </row>
    <row r="4" customFormat="false" ht="30" hidden="false" customHeight="true" outlineLevel="0" collapsed="false">
      <c r="A4" s="14" t="s">
        <v>36</v>
      </c>
      <c r="B4" s="15" t="s">
        <v>37</v>
      </c>
      <c r="C4" s="15" t="s">
        <v>38</v>
      </c>
      <c r="D4" s="15" t="s">
        <v>39</v>
      </c>
      <c r="E4" s="15" t="s">
        <v>64</v>
      </c>
      <c r="F4" s="15" t="s">
        <v>65</v>
      </c>
      <c r="G4" s="15" t="s">
        <v>66</v>
      </c>
      <c r="H4" s="15" t="s">
        <v>67</v>
      </c>
      <c r="I4" s="15" t="s">
        <v>68</v>
      </c>
      <c r="J4" s="15" t="s">
        <v>69</v>
      </c>
    </row>
    <row r="5" customFormat="false" ht="15" hidden="false" customHeight="false" outlineLevel="0" collapsed="false">
      <c r="A5" s="18" t="s">
        <v>44</v>
      </c>
      <c r="B5" s="22"/>
      <c r="C5" s="22"/>
      <c r="D5" s="22"/>
      <c r="E5" s="2" t="s">
        <v>70</v>
      </c>
      <c r="F5" s="23" t="n">
        <v>10000</v>
      </c>
      <c r="G5" s="23" t="n">
        <v>11500</v>
      </c>
      <c r="H5" s="23" t="n">
        <v>13800</v>
      </c>
      <c r="I5" s="24" t="str">
        <f aca="false">IF(COUNT(F5:H5)=0,"",IF(NOT(AND(IF(ISNUMBER(F5),ISNUMBER(B5),TRUE()),IF(ISNUMBER(G5),ISNUMBER(C5),TRUE()),IF(ISNUMBER(H5),ISNUMBER(D5),TRUE()))),"",IF(AND(IF(ISNUMBER(F5),ABS(B5-F5)&lt;=J5,TRUE()),IF(ISNUMBER(G5),ABS(C5-G5)&lt;=J5,TRUE()),IF(ISNUMBER(H5),ABS(D5-H5)&lt;=J5,TRUE())),"OK","Check")))</f>
        <v/>
      </c>
      <c r="J5" s="25" t="n">
        <v>0.5</v>
      </c>
    </row>
    <row r="6" customFormat="false" ht="15" hidden="false" customHeight="false" outlineLevel="0" collapsed="false">
      <c r="A6" s="18" t="s">
        <v>45</v>
      </c>
      <c r="B6" s="22"/>
      <c r="C6" s="22"/>
      <c r="D6" s="22"/>
      <c r="E6" s="2" t="s">
        <v>71</v>
      </c>
      <c r="F6" s="23" t="n">
        <v>7000</v>
      </c>
      <c r="G6" s="23" t="n">
        <v>8200</v>
      </c>
      <c r="H6" s="23" t="n">
        <v>10300</v>
      </c>
      <c r="I6" s="24" t="str">
        <f aca="false">IF(COUNT(F6:H6)=0,"",IF(NOT(AND(IF(ISNUMBER(F6),ISNUMBER(B6),TRUE()),IF(ISNUMBER(G6),ISNUMBER(C6),TRUE()),IF(ISNUMBER(H6),ISNUMBER(D6),TRUE()))),"",IF(AND(IF(ISNUMBER(F6),ABS(B6-F6)&lt;=J6,TRUE()),IF(ISNUMBER(G6),ABS(C6-G6)&lt;=J6,TRUE()),IF(ISNUMBER(H6),ABS(D6-H6)&lt;=J6,TRUE())),"OK","Check")))</f>
        <v/>
      </c>
      <c r="J6" s="25" t="n">
        <v>0.5</v>
      </c>
    </row>
    <row r="7" customFormat="false" ht="15" hidden="false" customHeight="false" outlineLevel="0" collapsed="false">
      <c r="A7" s="10" t="s">
        <v>72</v>
      </c>
      <c r="B7" s="26"/>
      <c r="C7" s="26"/>
      <c r="D7" s="26"/>
      <c r="E7" s="2" t="s">
        <v>73</v>
      </c>
      <c r="F7" s="23" t="n">
        <v>3000</v>
      </c>
      <c r="G7" s="23" t="n">
        <v>3300</v>
      </c>
      <c r="H7" s="23" t="n">
        <v>3500</v>
      </c>
      <c r="I7" s="24" t="str">
        <f aca="false">IF(COUNT(F7:H7)=0,"",IF(NOT(AND(IF(ISNUMBER(F7),ISNUMBER(B7),TRUE()),IF(ISNUMBER(G7),ISNUMBER(C7),TRUE()),IF(ISNUMBER(H7),ISNUMBER(D7),TRUE()))),"",IF(AND(IF(ISNUMBER(F7),ABS(B7-F7)&lt;=J7,TRUE()),IF(ISNUMBER(G7),ABS(C7-G7)&lt;=J7,TRUE()),IF(ISNUMBER(H7),ABS(D7-H7)&lt;=J7,TRUE())),"OK","Check")))</f>
        <v/>
      </c>
      <c r="J7" s="25" t="n">
        <v>0.5</v>
      </c>
    </row>
    <row r="8" customFormat="false" ht="15" hidden="false" customHeight="false" outlineLevel="0" collapsed="false">
      <c r="A8" s="18" t="s">
        <v>46</v>
      </c>
      <c r="B8" s="22"/>
      <c r="C8" s="22"/>
      <c r="D8" s="22"/>
      <c r="E8" s="2" t="s">
        <v>74</v>
      </c>
      <c r="F8" s="23" t="n">
        <v>1800</v>
      </c>
      <c r="G8" s="23" t="n">
        <v>2000</v>
      </c>
      <c r="H8" s="23" t="n">
        <v>2200</v>
      </c>
      <c r="I8" s="24" t="str">
        <f aca="false">IF(COUNT(F8:H8)=0,"",IF(NOT(AND(IF(ISNUMBER(F8),ISNUMBER(B8),TRUE()),IF(ISNUMBER(G8),ISNUMBER(C8),TRUE()),IF(ISNUMBER(H8),ISNUMBER(D8),TRUE()))),"",IF(AND(IF(ISNUMBER(F8),ABS(B8-F8)&lt;=J8,TRUE()),IF(ISNUMBER(G8),ABS(C8-G8)&lt;=J8,TRUE()),IF(ISNUMBER(H8),ABS(D8-H8)&lt;=J8,TRUE())),"OK","Check")))</f>
        <v/>
      </c>
      <c r="J8" s="25" t="n">
        <v>0.5</v>
      </c>
    </row>
    <row r="9" customFormat="false" ht="15" hidden="false" customHeight="false" outlineLevel="0" collapsed="false">
      <c r="A9" s="10" t="s">
        <v>75</v>
      </c>
      <c r="B9" s="26"/>
      <c r="C9" s="26"/>
      <c r="D9" s="26"/>
      <c r="E9" s="2" t="s">
        <v>76</v>
      </c>
      <c r="F9" s="23" t="n">
        <v>1200</v>
      </c>
      <c r="G9" s="23" t="n">
        <v>1300</v>
      </c>
      <c r="H9" s="23" t="n">
        <v>1300</v>
      </c>
      <c r="I9" s="24" t="str">
        <f aca="false">IF(COUNT(F9:H9)=0,"",IF(NOT(AND(IF(ISNUMBER(F9),ISNUMBER(B9),TRUE()),IF(ISNUMBER(G9),ISNUMBER(C9),TRUE()),IF(ISNUMBER(H9),ISNUMBER(D9),TRUE()))),"",IF(AND(IF(ISNUMBER(F9),ABS(B9-F9)&lt;=J9,TRUE()),IF(ISNUMBER(G9),ABS(C9-G9)&lt;=J9,TRUE()),IF(ISNUMBER(H9),ABS(D9-H9)&lt;=J9,TRUE())),"OK","Check")))</f>
        <v/>
      </c>
      <c r="J9" s="25" t="n">
        <v>0.5</v>
      </c>
    </row>
    <row r="10" customFormat="false" ht="15" hidden="false" customHeight="false" outlineLevel="0" collapsed="false">
      <c r="A10" s="18" t="s">
        <v>48</v>
      </c>
      <c r="B10" s="22"/>
      <c r="C10" s="22"/>
      <c r="D10" s="22"/>
      <c r="E10" s="2" t="s">
        <v>77</v>
      </c>
      <c r="F10" s="23" t="n">
        <v>200</v>
      </c>
      <c r="G10" s="23" t="n">
        <v>250</v>
      </c>
      <c r="H10" s="23" t="n">
        <v>350</v>
      </c>
      <c r="I10" s="24" t="str">
        <f aca="false">IF(COUNT(F10:H10)=0,"",IF(NOT(AND(IF(ISNUMBER(F10),ISNUMBER(B10),TRUE()),IF(ISNUMBER(G10),ISNUMBER(C10),TRUE()),IF(ISNUMBER(H10),ISNUMBER(D10),TRUE()))),"",IF(AND(IF(ISNUMBER(F10),ABS(B10-F10)&lt;=J10,TRUE()),IF(ISNUMBER(G10),ABS(C10-G10)&lt;=J10,TRUE()),IF(ISNUMBER(H10),ABS(D10-H10)&lt;=J10,TRUE())),"OK","Check")))</f>
        <v/>
      </c>
      <c r="J10" s="25" t="n">
        <v>0.5</v>
      </c>
    </row>
    <row r="11" customFormat="false" ht="15" hidden="false" customHeight="false" outlineLevel="0" collapsed="false">
      <c r="A11" s="18" t="s">
        <v>78</v>
      </c>
      <c r="B11" s="22"/>
      <c r="C11" s="22"/>
      <c r="D11" s="22"/>
      <c r="E11" s="2" t="s">
        <v>79</v>
      </c>
    </row>
    <row r="12" customFormat="false" ht="15" hidden="false" customHeight="false" outlineLevel="0" collapsed="false">
      <c r="A12" s="18" t="s">
        <v>80</v>
      </c>
      <c r="B12" s="22"/>
      <c r="C12" s="22"/>
      <c r="D12" s="22"/>
      <c r="E12" s="2" t="s">
        <v>81</v>
      </c>
    </row>
    <row r="13" customFormat="false" ht="15" hidden="false" customHeight="false" outlineLevel="0" collapsed="false">
      <c r="A13" s="10" t="s">
        <v>82</v>
      </c>
      <c r="B13" s="26"/>
      <c r="C13" s="26"/>
      <c r="D13" s="26"/>
      <c r="E13" s="2" t="s">
        <v>83</v>
      </c>
      <c r="F13" s="23" t="n">
        <v>780</v>
      </c>
      <c r="G13" s="23" t="n">
        <v>819</v>
      </c>
      <c r="H13" s="23" t="n">
        <v>741</v>
      </c>
      <c r="I13" s="24" t="str">
        <f aca="false">IF(COUNT(F13:H13)=0,"",IF(NOT(AND(IF(ISNUMBER(F13),ISNUMBER(B13),TRUE()),IF(ISNUMBER(G13),ISNUMBER(C13),TRUE()),IF(ISNUMBER(H13),ISNUMBER(D13),TRUE()))),"",IF(AND(IF(ISNUMBER(F13),ABS(B13-F13)&lt;=J13,TRUE()),IF(ISNUMBER(G13),ABS(C13-G13)&lt;=J13,TRUE()),IF(ISNUMBER(H13),ABS(D13-H13)&lt;=J13,TRUE())),"OK","Check")))</f>
        <v/>
      </c>
      <c r="J13" s="25" t="n">
        <v>0.5</v>
      </c>
    </row>
    <row r="14" customFormat="false" ht="15" hidden="false" customHeight="false" outlineLevel="0" collapsed="false">
      <c r="A14" s="18" t="s">
        <v>84</v>
      </c>
      <c r="B14" s="22"/>
      <c r="C14" s="22"/>
      <c r="D14" s="22"/>
      <c r="E14" s="2" t="s">
        <v>85</v>
      </c>
      <c r="F14" s="23" t="n">
        <v>300</v>
      </c>
      <c r="G14" s="23" t="n">
        <v>320</v>
      </c>
      <c r="H14" s="23" t="n">
        <v>340</v>
      </c>
      <c r="I14" s="24" t="str">
        <f aca="false">IF(COUNT(F14:H14)=0,"",IF(NOT(AND(IF(ISNUMBER(F14),ISNUMBER(B14),TRUE()),IF(ISNUMBER(G14),ISNUMBER(C14),TRUE()),IF(ISNUMBER(H14),ISNUMBER(D14),TRUE()))),"",IF(AND(IF(ISNUMBER(F14),ABS(B14-F14)&lt;=J14,TRUE()),IF(ISNUMBER(G14),ABS(C14-G14)&lt;=J14,TRUE()),IF(ISNUMBER(H14),ABS(D14-H14)&lt;=J14,TRUE())),"OK","Check")))</f>
        <v/>
      </c>
      <c r="J14" s="25" t="n">
        <v>0.5</v>
      </c>
    </row>
    <row r="15" customFormat="false" ht="15" hidden="false" customHeight="false" outlineLevel="0" collapsed="false">
      <c r="A15" s="10" t="s">
        <v>86</v>
      </c>
      <c r="B15" s="26"/>
      <c r="C15" s="26"/>
      <c r="D15" s="26"/>
      <c r="E15" s="2" t="s">
        <v>87</v>
      </c>
      <c r="F15" s="23" t="n">
        <v>1500</v>
      </c>
      <c r="G15" s="23" t="n">
        <v>1620</v>
      </c>
      <c r="H15" s="23" t="n">
        <v>1640</v>
      </c>
      <c r="I15" s="24" t="str">
        <f aca="false">IF(COUNT(F15:H15)=0,"",IF(NOT(AND(IF(ISNUMBER(F15),ISNUMBER(B15),TRUE()),IF(ISNUMBER(G15),ISNUMBER(C15),TRUE()),IF(ISNUMBER(H15),ISNUMBER(D15),TRUE()))),"",IF(AND(IF(ISNUMBER(F15),ABS(B15-F15)&lt;=J15,TRUE()),IF(ISNUMBER(G15),ABS(C15-G15)&lt;=J15,TRUE()),IF(ISNUMBER(H15),ABS(D15-H15)&lt;=J15,TRUE())),"OK","Check")))</f>
        <v/>
      </c>
      <c r="J15" s="25" t="n">
        <v>0.5</v>
      </c>
    </row>
  </sheetData>
  <conditionalFormatting sqref="I5:I30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"Check"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3"/>
    <col collapsed="false" customWidth="true" hidden="false" outlineLevel="0" max="5" min="5" style="0" width="52"/>
    <col collapsed="false" customWidth="true" hidden="false" outlineLevel="0" max="8" min="6" style="0" width="11"/>
    <col collapsed="false" customWidth="true" hidden="false" outlineLevel="0" max="9" min="9" style="0" width="10"/>
    <col collapsed="false" customWidth="true" hidden="false" outlineLevel="0" max="10" min="10" style="0" width="7"/>
  </cols>
  <sheetData>
    <row r="1" customFormat="false" ht="17.35" hidden="false" customHeight="false" outlineLevel="0" collapsed="false">
      <c r="A1" s="1" t="s">
        <v>51</v>
      </c>
    </row>
    <row r="2" customFormat="false" ht="15" hidden="false" customHeight="false" outlineLevel="0" collapsed="false">
      <c r="A2" s="2" t="s">
        <v>63</v>
      </c>
    </row>
    <row r="4" customFormat="false" ht="30" hidden="false" customHeight="true" outlineLevel="0" collapsed="false">
      <c r="A4" s="14" t="s">
        <v>36</v>
      </c>
      <c r="B4" s="15" t="s">
        <v>37</v>
      </c>
      <c r="C4" s="15" t="s">
        <v>38</v>
      </c>
      <c r="D4" s="15" t="s">
        <v>39</v>
      </c>
      <c r="E4" s="15" t="s">
        <v>64</v>
      </c>
      <c r="F4" s="15" t="s">
        <v>65</v>
      </c>
      <c r="G4" s="15" t="s">
        <v>66</v>
      </c>
      <c r="H4" s="15" t="s">
        <v>67</v>
      </c>
      <c r="I4" s="15" t="s">
        <v>68</v>
      </c>
      <c r="J4" s="15" t="s">
        <v>69</v>
      </c>
    </row>
    <row r="5" customFormat="false" ht="15" hidden="false" customHeight="false" outlineLevel="0" collapsed="false">
      <c r="A5" s="18" t="s">
        <v>52</v>
      </c>
      <c r="B5" s="22"/>
      <c r="C5" s="22"/>
      <c r="D5" s="22"/>
      <c r="E5" s="2" t="s">
        <v>88</v>
      </c>
      <c r="F5" s="23" t="n">
        <v>800</v>
      </c>
      <c r="G5" s="23" t="n">
        <v>600</v>
      </c>
      <c r="H5" s="23" t="n">
        <v>300</v>
      </c>
      <c r="I5" s="24" t="str">
        <f aca="false">IF(COUNT(F5:H5)=0,"",IF(NOT(AND(IF(ISNUMBER(F5),ISNUMBER(B5),TRUE()),IF(ISNUMBER(G5),ISNUMBER(C5),TRUE()),IF(ISNUMBER(H5),ISNUMBER(D5),TRUE()))),"",IF(AND(IF(ISNUMBER(F5),ABS(B5-F5)&lt;=J5,TRUE()),IF(ISNUMBER(G5),ABS(C5-G5)&lt;=J5,TRUE()),IF(ISNUMBER(H5),ABS(D5-H5)&lt;=J5,TRUE())),"OK","Check")))</f>
        <v/>
      </c>
      <c r="J5" s="25" t="n">
        <v>0.5</v>
      </c>
    </row>
    <row r="6" customFormat="false" ht="15" hidden="false" customHeight="false" outlineLevel="0" collapsed="false">
      <c r="A6" s="18" t="s">
        <v>53</v>
      </c>
      <c r="B6" s="22"/>
      <c r="C6" s="22"/>
      <c r="D6" s="22"/>
      <c r="E6" s="2" t="s">
        <v>89</v>
      </c>
      <c r="F6" s="23" t="n">
        <v>1400</v>
      </c>
      <c r="G6" s="23" t="n">
        <v>1900</v>
      </c>
      <c r="H6" s="23" t="n">
        <v>2900</v>
      </c>
      <c r="I6" s="24" t="str">
        <f aca="false">IF(COUNT(F6:H6)=0,"",IF(NOT(AND(IF(ISNUMBER(F6),ISNUMBER(B6),TRUE()),IF(ISNUMBER(G6),ISNUMBER(C6),TRUE()),IF(ISNUMBER(H6),ISNUMBER(D6),TRUE()))),"",IF(AND(IF(ISNUMBER(F6),ABS(B6-F6)&lt;=J6,TRUE()),IF(ISNUMBER(G6),ABS(C6-G6)&lt;=J6,TRUE()),IF(ISNUMBER(H6),ABS(D6-H6)&lt;=J6,TRUE())),"OK","Check")))</f>
        <v/>
      </c>
      <c r="J6" s="25" t="n">
        <v>0.5</v>
      </c>
    </row>
    <row r="7" customFormat="false" ht="15" hidden="false" customHeight="false" outlineLevel="0" collapsed="false">
      <c r="A7" s="18" t="s">
        <v>54</v>
      </c>
      <c r="B7" s="22"/>
      <c r="C7" s="22"/>
      <c r="D7" s="22"/>
      <c r="E7" s="2" t="s">
        <v>90</v>
      </c>
      <c r="F7" s="23" t="n">
        <v>1000</v>
      </c>
      <c r="G7" s="23" t="n">
        <v>1300</v>
      </c>
      <c r="H7" s="23" t="n">
        <v>1900</v>
      </c>
      <c r="I7" s="24" t="str">
        <f aca="false">IF(COUNT(F7:H7)=0,"",IF(NOT(AND(IF(ISNUMBER(F7),ISNUMBER(B7),TRUE()),IF(ISNUMBER(G7),ISNUMBER(C7),TRUE()),IF(ISNUMBER(H7),ISNUMBER(D7),TRUE()))),"",IF(AND(IF(ISNUMBER(F7),ABS(B7-F7)&lt;=J7,TRUE()),IF(ISNUMBER(G7),ABS(C7-G7)&lt;=J7,TRUE()),IF(ISNUMBER(H7),ABS(D7-H7)&lt;=J7,TRUE())),"OK","Check")))</f>
        <v/>
      </c>
      <c r="J7" s="25" t="n">
        <v>0.5</v>
      </c>
    </row>
    <row r="8" customFormat="false" ht="15" hidden="false" customHeight="false" outlineLevel="0" collapsed="false">
      <c r="A8" s="10" t="s">
        <v>91</v>
      </c>
      <c r="B8" s="26"/>
      <c r="C8" s="26"/>
      <c r="D8" s="26"/>
      <c r="E8" s="2" t="s">
        <v>92</v>
      </c>
      <c r="F8" s="23" t="n">
        <v>3200</v>
      </c>
      <c r="G8" s="23" t="n">
        <v>3800</v>
      </c>
      <c r="H8" s="23" t="n">
        <v>5100</v>
      </c>
      <c r="I8" s="24" t="str">
        <f aca="false">IF(COUNT(F8:H8)=0,"",IF(NOT(AND(IF(ISNUMBER(F8),ISNUMBER(B8),TRUE()),IF(ISNUMBER(G8),ISNUMBER(C8),TRUE()),IF(ISNUMBER(H8),ISNUMBER(D8),TRUE()))),"",IF(AND(IF(ISNUMBER(F8),ABS(B8-F8)&lt;=J8,TRUE()),IF(ISNUMBER(G8),ABS(C8-G8)&lt;=J8,TRUE()),IF(ISNUMBER(H8),ABS(D8-H8)&lt;=J8,TRUE())),"OK","Check")))</f>
        <v/>
      </c>
      <c r="J8" s="25" t="n">
        <v>0.5</v>
      </c>
    </row>
    <row r="9" customFormat="false" ht="15" hidden="false" customHeight="false" outlineLevel="0" collapsed="false">
      <c r="A9" s="18" t="s">
        <v>55</v>
      </c>
      <c r="B9" s="22"/>
      <c r="C9" s="22"/>
      <c r="D9" s="22"/>
      <c r="E9" s="2" t="s">
        <v>93</v>
      </c>
      <c r="F9" s="23" t="n">
        <v>3000</v>
      </c>
      <c r="G9" s="23" t="n">
        <v>3200</v>
      </c>
      <c r="H9" s="23" t="n">
        <v>3300</v>
      </c>
      <c r="I9" s="24" t="str">
        <f aca="false">IF(COUNT(F9:H9)=0,"",IF(NOT(AND(IF(ISNUMBER(F9),ISNUMBER(B9),TRUE()),IF(ISNUMBER(G9),ISNUMBER(C9),TRUE()),IF(ISNUMBER(H9),ISNUMBER(D9),TRUE()))),"",IF(AND(IF(ISNUMBER(F9),ABS(B9-F9)&lt;=J9,TRUE()),IF(ISNUMBER(G9),ABS(C9-G9)&lt;=J9,TRUE()),IF(ISNUMBER(H9),ABS(D9-H9)&lt;=J9,TRUE())),"OK","Check")))</f>
        <v/>
      </c>
      <c r="J9" s="25" t="n">
        <v>0.5</v>
      </c>
    </row>
    <row r="10" customFormat="false" ht="15" hidden="false" customHeight="false" outlineLevel="0" collapsed="false">
      <c r="A10" s="10" t="s">
        <v>94</v>
      </c>
      <c r="B10" s="26"/>
      <c r="C10" s="26"/>
      <c r="D10" s="26"/>
      <c r="E10" s="2" t="s">
        <v>95</v>
      </c>
      <c r="F10" s="23" t="n">
        <v>6200</v>
      </c>
      <c r="G10" s="23" t="n">
        <v>7000</v>
      </c>
      <c r="H10" s="23" t="n">
        <v>8400</v>
      </c>
      <c r="I10" s="24" t="str">
        <f aca="false">IF(COUNT(F10:H10)=0,"",IF(NOT(AND(IF(ISNUMBER(F10),ISNUMBER(B10),TRUE()),IF(ISNUMBER(G10),ISNUMBER(C10),TRUE()),IF(ISNUMBER(H10),ISNUMBER(D10),TRUE()))),"",IF(AND(IF(ISNUMBER(F10),ABS(B10-F10)&lt;=J10,TRUE()),IF(ISNUMBER(G10),ABS(C10-G10)&lt;=J10,TRUE()),IF(ISNUMBER(H10),ABS(D10-H10)&lt;=J10,TRUE())),"OK","Check")))</f>
        <v/>
      </c>
      <c r="J10" s="25" t="n">
        <v>0.5</v>
      </c>
    </row>
    <row r="11" customFormat="false" ht="15" hidden="false" customHeight="false" outlineLevel="0" collapsed="false">
      <c r="A11" s="18" t="s">
        <v>56</v>
      </c>
      <c r="B11" s="22"/>
      <c r="C11" s="22"/>
      <c r="D11" s="22"/>
      <c r="E11" s="2" t="s">
        <v>96</v>
      </c>
      <c r="F11" s="23" t="n">
        <v>900</v>
      </c>
      <c r="G11" s="23" t="n">
        <v>1000</v>
      </c>
      <c r="H11" s="23" t="n">
        <v>1100</v>
      </c>
      <c r="I11" s="24" t="str">
        <f aca="false">IF(COUNT(F11:H11)=0,"",IF(NOT(AND(IF(ISNUMBER(F11),ISNUMBER(B11),TRUE()),IF(ISNUMBER(G11),ISNUMBER(C11),TRUE()),IF(ISNUMBER(H11),ISNUMBER(D11),TRUE()))),"",IF(AND(IF(ISNUMBER(F11),ABS(B11-F11)&lt;=J11,TRUE()),IF(ISNUMBER(G11),ABS(C11-G11)&lt;=J11,TRUE()),IF(ISNUMBER(H11),ABS(D11-H11)&lt;=J11,TRUE())),"OK","Check")))</f>
        <v/>
      </c>
      <c r="J11" s="25" t="n">
        <v>0.5</v>
      </c>
    </row>
    <row r="12" customFormat="false" ht="15" hidden="false" customHeight="false" outlineLevel="0" collapsed="false">
      <c r="A12" s="18" t="s">
        <v>57</v>
      </c>
      <c r="B12" s="22"/>
      <c r="C12" s="22"/>
      <c r="D12" s="22"/>
      <c r="E12" s="2" t="s">
        <v>97</v>
      </c>
      <c r="F12" s="23" t="n">
        <v>600</v>
      </c>
      <c r="G12" s="23" t="n">
        <v>900</v>
      </c>
      <c r="H12" s="23" t="n">
        <v>1700</v>
      </c>
      <c r="I12" s="24" t="str">
        <f aca="false">IF(COUNT(F12:H12)=0,"",IF(NOT(AND(IF(ISNUMBER(F12),ISNUMBER(B12),TRUE()),IF(ISNUMBER(G12),ISNUMBER(C12),TRUE()),IF(ISNUMBER(H12),ISNUMBER(D12),TRUE()))),"",IF(AND(IF(ISNUMBER(F12),ABS(B12-F12)&lt;=J12,TRUE()),IF(ISNUMBER(G12),ABS(C12-G12)&lt;=J12,TRUE()),IF(ISNUMBER(H12),ABS(D12-H12)&lt;=J12,TRUE())),"OK","Check")))</f>
        <v/>
      </c>
      <c r="J12" s="25" t="n">
        <v>0.5</v>
      </c>
    </row>
    <row r="13" customFormat="false" ht="15" hidden="false" customHeight="false" outlineLevel="0" collapsed="false">
      <c r="A13" s="10" t="s">
        <v>98</v>
      </c>
      <c r="B13" s="26"/>
      <c r="C13" s="26"/>
      <c r="D13" s="26"/>
      <c r="E13" s="2" t="s">
        <v>99</v>
      </c>
      <c r="F13" s="23" t="n">
        <v>1500</v>
      </c>
      <c r="G13" s="23" t="n">
        <v>1900</v>
      </c>
      <c r="H13" s="23" t="n">
        <v>2800</v>
      </c>
      <c r="I13" s="24" t="str">
        <f aca="false">IF(COUNT(F13:H13)=0,"",IF(NOT(AND(IF(ISNUMBER(F13),ISNUMBER(B13),TRUE()),IF(ISNUMBER(G13),ISNUMBER(C13),TRUE()),IF(ISNUMBER(H13),ISNUMBER(D13),TRUE()))),"",IF(AND(IF(ISNUMBER(F13),ABS(B13-F13)&lt;=J13,TRUE()),IF(ISNUMBER(G13),ABS(C13-G13)&lt;=J13,TRUE()),IF(ISNUMBER(H13),ABS(D13-H13)&lt;=J13,TRUE())),"OK","Check")))</f>
        <v/>
      </c>
      <c r="J13" s="25" t="n">
        <v>0.5</v>
      </c>
    </row>
    <row r="14" customFormat="false" ht="15" hidden="false" customHeight="false" outlineLevel="0" collapsed="false">
      <c r="A14" s="18" t="s">
        <v>58</v>
      </c>
      <c r="B14" s="22"/>
      <c r="C14" s="22"/>
      <c r="D14" s="22"/>
      <c r="E14" s="2" t="s">
        <v>100</v>
      </c>
      <c r="F14" s="23" t="n">
        <v>1500</v>
      </c>
      <c r="G14" s="23" t="n">
        <v>1500</v>
      </c>
      <c r="H14" s="23" t="n">
        <v>1500</v>
      </c>
      <c r="I14" s="24" t="str">
        <f aca="false">IF(COUNT(F14:H14)=0,"",IF(NOT(AND(IF(ISNUMBER(F14),ISNUMBER(B14),TRUE()),IF(ISNUMBER(G14),ISNUMBER(C14),TRUE()),IF(ISNUMBER(H14),ISNUMBER(D14),TRUE()))),"",IF(AND(IF(ISNUMBER(F14),ABS(B14-F14)&lt;=J14,TRUE()),IF(ISNUMBER(G14),ABS(C14-G14)&lt;=J14,TRUE()),IF(ISNUMBER(H14),ABS(D14-H14)&lt;=J14,TRUE())),"OK","Check")))</f>
        <v/>
      </c>
      <c r="J14" s="25" t="n">
        <v>0.5</v>
      </c>
    </row>
    <row r="15" customFormat="false" ht="15" hidden="false" customHeight="false" outlineLevel="0" collapsed="false">
      <c r="A15" s="10" t="s">
        <v>101</v>
      </c>
      <c r="B15" s="26"/>
      <c r="C15" s="26"/>
      <c r="D15" s="26"/>
      <c r="E15" s="2" t="s">
        <v>102</v>
      </c>
    </row>
    <row r="16" customFormat="false" ht="15" hidden="false" customHeight="false" outlineLevel="0" collapsed="false">
      <c r="A16" s="18" t="s">
        <v>59</v>
      </c>
      <c r="B16" s="22"/>
      <c r="C16" s="22"/>
      <c r="D16" s="22"/>
      <c r="E16" s="2" t="s">
        <v>103</v>
      </c>
      <c r="F16" s="23" t="n">
        <v>3200</v>
      </c>
      <c r="G16" s="23" t="n">
        <v>3600</v>
      </c>
      <c r="H16" s="23" t="n">
        <v>4100</v>
      </c>
      <c r="I16" s="24" t="str">
        <f aca="false">IF(COUNT(F16:H16)=0,"",IF(NOT(AND(IF(ISNUMBER(F16),ISNUMBER(B16),TRUE()),IF(ISNUMBER(G16),ISNUMBER(C16),TRUE()),IF(ISNUMBER(H16),ISNUMBER(D16),TRUE()))),"",IF(AND(IF(ISNUMBER(F16),ABS(B16-F16)&lt;=J16,TRUE()),IF(ISNUMBER(G16),ABS(C16-G16)&lt;=J16,TRUE()),IF(ISNUMBER(H16),ABS(D16-H16)&lt;=J16,TRUE())),"OK","Check")))</f>
        <v/>
      </c>
      <c r="J16" s="25" t="n">
        <v>0.5</v>
      </c>
    </row>
    <row r="17" customFormat="false" ht="15" hidden="false" customHeight="false" outlineLevel="0" collapsed="false">
      <c r="A17" s="10" t="s">
        <v>104</v>
      </c>
      <c r="B17" s="26"/>
      <c r="C17" s="26"/>
      <c r="D17" s="26"/>
      <c r="E17" s="2" t="s">
        <v>105</v>
      </c>
    </row>
    <row r="19" customFormat="false" ht="27.75" hidden="false" customHeight="true" outlineLevel="0" collapsed="false">
      <c r="A19" s="10" t="s">
        <v>106</v>
      </c>
      <c r="B19" s="27" t="str">
        <f aca="false">IF(OR(B10="",B17=""),"Waiting for formulas",IF(ABS(B10-B17)&lt;0.5,"OK","DOES NOT BALANCE"))</f>
        <v>Waiting for formulas</v>
      </c>
      <c r="C19" s="27" t="str">
        <f aca="false">IF(OR(C10="",C17=""),"Waiting for formulas",IF(ABS(C10-C17)&lt;0.5,"OK","DOES NOT BALANCE"))</f>
        <v>Waiting for formulas</v>
      </c>
      <c r="D19" s="27" t="str">
        <f aca="false">IF(OR(D10="",D17=""),"Waiting for formulas",IF(ABS(D10-D17)&lt;0.5,"OK","DOES NOT BALANCE"))</f>
        <v>Waiting for formulas</v>
      </c>
      <c r="E19" s="2" t="s">
        <v>107</v>
      </c>
    </row>
  </sheetData>
  <conditionalFormatting sqref="B19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"DOES NOT BALANCE"</formula>
    </cfRule>
  </conditionalFormatting>
  <conditionalFormatting sqref="C19">
    <cfRule type="cellIs" priority="4" operator="equal" aboveAverage="0" equalAverage="0" bottom="0" percent="0" rank="0" text="" dxfId="0">
      <formula>"OK"</formula>
    </cfRule>
    <cfRule type="cellIs" priority="5" operator="equal" aboveAverage="0" equalAverage="0" bottom="0" percent="0" rank="0" text="" dxfId="1">
      <formula>"DOES NOT BALANCE"</formula>
    </cfRule>
  </conditionalFormatting>
  <conditionalFormatting sqref="D19">
    <cfRule type="cellIs" priority="6" operator="equal" aboveAverage="0" equalAverage="0" bottom="0" percent="0" rank="0" text="" dxfId="0">
      <formula>"OK"</formula>
    </cfRule>
    <cfRule type="cellIs" priority="7" operator="equal" aboveAverage="0" equalAverage="0" bottom="0" percent="0" rank="0" text="" dxfId="1">
      <formula>"DOES NOT BALANCE"</formula>
    </cfRule>
  </conditionalFormatting>
  <conditionalFormatting sqref="I5:I30">
    <cfRule type="cellIs" priority="8" operator="equal" aboveAverage="0" equalAverage="0" bottom="0" percent="0" rank="0" text="" dxfId="0">
      <formula>"OK"</formula>
    </cfRule>
    <cfRule type="cellIs" priority="9" operator="equal" aboveAverage="0" equalAverage="0" bottom="0" percent="0" rank="0" text="" dxfId="1">
      <formula>"Check"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3"/>
    <col collapsed="false" customWidth="true" hidden="false" outlineLevel="0" max="5" min="5" style="0" width="52"/>
    <col collapsed="false" customWidth="true" hidden="false" outlineLevel="0" max="8" min="6" style="0" width="11"/>
    <col collapsed="false" customWidth="true" hidden="false" outlineLevel="0" max="9" min="9" style="0" width="10"/>
    <col collapsed="false" customWidth="true" hidden="false" outlineLevel="0" max="10" min="10" style="0" width="7"/>
  </cols>
  <sheetData>
    <row r="1" customFormat="false" ht="17.35" hidden="false" customHeight="false" outlineLevel="0" collapsed="false">
      <c r="A1" s="1" t="s">
        <v>108</v>
      </c>
    </row>
    <row r="2" customFormat="false" ht="15" hidden="false" customHeight="false" outlineLevel="0" collapsed="false">
      <c r="A2" s="2" t="s">
        <v>109</v>
      </c>
    </row>
    <row r="4" customFormat="false" ht="30" hidden="false" customHeight="true" outlineLevel="0" collapsed="false">
      <c r="A4" s="14" t="s">
        <v>36</v>
      </c>
      <c r="B4" s="15" t="s">
        <v>37</v>
      </c>
      <c r="C4" s="15" t="s">
        <v>38</v>
      </c>
      <c r="D4" s="15" t="s">
        <v>39</v>
      </c>
      <c r="E4" s="15" t="s">
        <v>64</v>
      </c>
      <c r="F4" s="15" t="s">
        <v>65</v>
      </c>
      <c r="G4" s="15" t="s">
        <v>66</v>
      </c>
      <c r="H4" s="15" t="s">
        <v>67</v>
      </c>
      <c r="I4" s="15" t="s">
        <v>68</v>
      </c>
      <c r="J4" s="15" t="s">
        <v>69</v>
      </c>
    </row>
    <row r="5" customFormat="false" ht="15" hidden="false" customHeight="false" outlineLevel="0" collapsed="false">
      <c r="A5" s="18" t="s">
        <v>82</v>
      </c>
      <c r="B5" s="28" t="s">
        <v>110</v>
      </c>
      <c r="C5" s="22"/>
      <c r="D5" s="22"/>
      <c r="E5" s="2" t="s">
        <v>111</v>
      </c>
      <c r="H5" s="23" t="n">
        <v>741</v>
      </c>
      <c r="I5" s="24" t="str">
        <f aca="false">IF(COUNT(F5:H5)=0,"",IF(NOT(AND(IF(ISNUMBER(F5),ISNUMBER(B5),TRUE()),IF(ISNUMBER(G5),ISNUMBER(C5),TRUE()),IF(ISNUMBER(H5),ISNUMBER(D5),TRUE()))),"",IF(AND(IF(ISNUMBER(F5),ABS(B5-F5)&lt;=J5,TRUE()),IF(ISNUMBER(G5),ABS(C5-G5)&lt;=J5,TRUE()),IF(ISNUMBER(H5),ABS(D5-H5)&lt;=J5,TRUE())),"OK","Check")))</f>
        <v/>
      </c>
      <c r="J5" s="25" t="n">
        <v>0.5</v>
      </c>
    </row>
    <row r="6" customFormat="false" ht="15" hidden="false" customHeight="false" outlineLevel="0" collapsed="false">
      <c r="A6" s="18" t="s">
        <v>112</v>
      </c>
      <c r="B6" s="28" t="s">
        <v>110</v>
      </c>
      <c r="C6" s="22"/>
      <c r="D6" s="22"/>
      <c r="E6" s="2" t="s">
        <v>113</v>
      </c>
      <c r="H6" s="23" t="n">
        <v>340</v>
      </c>
      <c r="I6" s="24" t="str">
        <f aca="false">IF(COUNT(F6:H6)=0,"",IF(NOT(AND(IF(ISNUMBER(F6),ISNUMBER(B6),TRUE()),IF(ISNUMBER(G6),ISNUMBER(C6),TRUE()),IF(ISNUMBER(H6),ISNUMBER(D6),TRUE()))),"",IF(AND(IF(ISNUMBER(F6),ABS(B6-F6)&lt;=J6,TRUE()),IF(ISNUMBER(G6),ABS(C6-G6)&lt;=J6,TRUE()),IF(ISNUMBER(H6),ABS(D6-H6)&lt;=J6,TRUE())),"OK","Check")))</f>
        <v/>
      </c>
      <c r="J6" s="25" t="n">
        <v>0.5</v>
      </c>
    </row>
    <row r="7" customFormat="false" ht="15" hidden="false" customHeight="false" outlineLevel="0" collapsed="false">
      <c r="A7" s="18" t="s">
        <v>114</v>
      </c>
      <c r="B7" s="28" t="s">
        <v>110</v>
      </c>
      <c r="C7" s="22"/>
      <c r="D7" s="22"/>
      <c r="E7" s="2" t="s">
        <v>115</v>
      </c>
      <c r="H7" s="23" t="n">
        <v>-1000</v>
      </c>
      <c r="I7" s="24" t="str">
        <f aca="false">IF(COUNT(F7:H7)=0,"",IF(NOT(AND(IF(ISNUMBER(F7),ISNUMBER(B7),TRUE()),IF(ISNUMBER(G7),ISNUMBER(C7),TRUE()),IF(ISNUMBER(H7),ISNUMBER(D7),TRUE()))),"",IF(AND(IF(ISNUMBER(F7),ABS(B7-F7)&lt;=J7,TRUE()),IF(ISNUMBER(G7),ABS(C7-G7)&lt;=J7,TRUE()),IF(ISNUMBER(H7),ABS(D7-H7)&lt;=J7,TRUE())),"OK","Check")))</f>
        <v/>
      </c>
      <c r="J7" s="25" t="n">
        <v>0.5</v>
      </c>
    </row>
    <row r="8" customFormat="false" ht="15" hidden="false" customHeight="false" outlineLevel="0" collapsed="false">
      <c r="A8" s="18" t="s">
        <v>116</v>
      </c>
      <c r="B8" s="28" t="s">
        <v>110</v>
      </c>
      <c r="C8" s="22"/>
      <c r="D8" s="22"/>
      <c r="E8" s="2" t="s">
        <v>117</v>
      </c>
      <c r="H8" s="23" t="n">
        <v>-600</v>
      </c>
      <c r="I8" s="24" t="str">
        <f aca="false">IF(COUNT(F8:H8)=0,"",IF(NOT(AND(IF(ISNUMBER(F8),ISNUMBER(B8),TRUE()),IF(ISNUMBER(G8),ISNUMBER(C8),TRUE()),IF(ISNUMBER(H8),ISNUMBER(D8),TRUE()))),"",IF(AND(IF(ISNUMBER(F8),ABS(B8-F8)&lt;=J8,TRUE()),IF(ISNUMBER(G8),ABS(C8-G8)&lt;=J8,TRUE()),IF(ISNUMBER(H8),ABS(D8-H8)&lt;=J8,TRUE())),"OK","Check")))</f>
        <v/>
      </c>
      <c r="J8" s="25" t="n">
        <v>0.5</v>
      </c>
    </row>
    <row r="9" customFormat="false" ht="15" hidden="false" customHeight="false" outlineLevel="0" collapsed="false">
      <c r="A9" s="18" t="s">
        <v>118</v>
      </c>
      <c r="B9" s="28" t="s">
        <v>110</v>
      </c>
      <c r="C9" s="22"/>
      <c r="D9" s="22"/>
      <c r="E9" s="2" t="s">
        <v>119</v>
      </c>
      <c r="H9" s="23" t="n">
        <v>100</v>
      </c>
      <c r="I9" s="24" t="str">
        <f aca="false">IF(COUNT(F9:H9)=0,"",IF(NOT(AND(IF(ISNUMBER(F9),ISNUMBER(B9),TRUE()),IF(ISNUMBER(G9),ISNUMBER(C9),TRUE()),IF(ISNUMBER(H9),ISNUMBER(D9),TRUE()))),"",IF(AND(IF(ISNUMBER(F9),ABS(B9-F9)&lt;=J9,TRUE()),IF(ISNUMBER(G9),ABS(C9-G9)&lt;=J9,TRUE()),IF(ISNUMBER(H9),ABS(D9-H9)&lt;=J9,TRUE())),"OK","Check")))</f>
        <v/>
      </c>
      <c r="J9" s="25" t="n">
        <v>0.5</v>
      </c>
    </row>
    <row r="10" customFormat="false" ht="15" hidden="false" customHeight="false" outlineLevel="0" collapsed="false">
      <c r="A10" s="10" t="s">
        <v>120</v>
      </c>
      <c r="B10" s="28" t="s">
        <v>110</v>
      </c>
      <c r="C10" s="26"/>
      <c r="D10" s="26"/>
      <c r="E10" s="2" t="s">
        <v>121</v>
      </c>
      <c r="H10" s="23" t="n">
        <v>-419</v>
      </c>
      <c r="I10" s="24" t="str">
        <f aca="false">IF(COUNT(F10:H10)=0,"",IF(NOT(AND(IF(ISNUMBER(F10),ISNUMBER(B10),TRUE()),IF(ISNUMBER(G10),ISNUMBER(C10),TRUE()),IF(ISNUMBER(H10),ISNUMBER(D10),TRUE()))),"",IF(AND(IF(ISNUMBER(F10),ABS(B10-F10)&lt;=J10,TRUE()),IF(ISNUMBER(G10),ABS(C10-G10)&lt;=J10,TRUE()),IF(ISNUMBER(H10),ABS(D10-H10)&lt;=J10,TRUE())),"OK","Check")))</f>
        <v/>
      </c>
      <c r="J10" s="25" t="n">
        <v>0.5</v>
      </c>
    </row>
    <row r="11" customFormat="false" ht="15" hidden="false" customHeight="false" outlineLevel="0" collapsed="false">
      <c r="A11" s="18" t="s">
        <v>122</v>
      </c>
      <c r="B11" s="28" t="s">
        <v>110</v>
      </c>
      <c r="C11" s="22"/>
      <c r="D11" s="22"/>
      <c r="E11" s="2" t="s">
        <v>123</v>
      </c>
      <c r="H11" s="23" t="n">
        <v>-440</v>
      </c>
      <c r="I11" s="24" t="str">
        <f aca="false">IF(COUNT(F11:H11)=0,"",IF(NOT(AND(IF(ISNUMBER(F11),ISNUMBER(B11),TRUE()),IF(ISNUMBER(G11),ISNUMBER(C11),TRUE()),IF(ISNUMBER(H11),ISNUMBER(D11),TRUE()))),"",IF(AND(IF(ISNUMBER(F11),ABS(B11-F11)&lt;=J11,TRUE()),IF(ISNUMBER(G11),ABS(C11-G11)&lt;=J11,TRUE()),IF(ISNUMBER(H11),ABS(D11-H11)&lt;=J11,TRUE())),"OK","Check")))</f>
        <v/>
      </c>
      <c r="J11" s="25" t="n">
        <v>0.5</v>
      </c>
    </row>
    <row r="12" customFormat="false" ht="15" hidden="false" customHeight="false" outlineLevel="0" collapsed="false">
      <c r="A12" s="10" t="s">
        <v>124</v>
      </c>
      <c r="B12" s="28" t="s">
        <v>110</v>
      </c>
      <c r="C12" s="26"/>
      <c r="D12" s="26"/>
      <c r="E12" s="2" t="s">
        <v>125</v>
      </c>
    </row>
    <row r="13" customFormat="false" ht="15" hidden="false" customHeight="false" outlineLevel="0" collapsed="false">
      <c r="A13" s="18" t="s">
        <v>126</v>
      </c>
      <c r="B13" s="28" t="s">
        <v>110</v>
      </c>
      <c r="C13" s="22"/>
      <c r="D13" s="22"/>
      <c r="E13" s="2" t="s">
        <v>127</v>
      </c>
      <c r="H13" s="23" t="n">
        <v>800</v>
      </c>
      <c r="I13" s="24" t="str">
        <f aca="false">IF(COUNT(F13:H13)=0,"",IF(NOT(AND(IF(ISNUMBER(F13),ISNUMBER(B13),TRUE()),IF(ISNUMBER(G13),ISNUMBER(C13),TRUE()),IF(ISNUMBER(H13),ISNUMBER(D13),TRUE()))),"",IF(AND(IF(ISNUMBER(F13),ABS(B13-F13)&lt;=J13,TRUE()),IF(ISNUMBER(G13),ABS(C13-G13)&lt;=J13,TRUE()),IF(ISNUMBER(H13),ABS(D13-H13)&lt;=J13,TRUE())),"OK","Check")))</f>
        <v/>
      </c>
      <c r="J13" s="25" t="n">
        <v>0.5</v>
      </c>
    </row>
    <row r="14" customFormat="false" ht="15" hidden="false" customHeight="false" outlineLevel="0" collapsed="false">
      <c r="A14" s="18" t="s">
        <v>128</v>
      </c>
      <c r="B14" s="28" t="s">
        <v>110</v>
      </c>
      <c r="C14" s="22"/>
      <c r="D14" s="22"/>
      <c r="E14" s="2" t="s">
        <v>129</v>
      </c>
      <c r="H14" s="23" t="n">
        <v>-241</v>
      </c>
      <c r="I14" s="24" t="str">
        <f aca="false">IF(COUNT(F14:H14)=0,"",IF(NOT(AND(IF(ISNUMBER(F14),ISNUMBER(B14),TRUE()),IF(ISNUMBER(G14),ISNUMBER(C14),TRUE()),IF(ISNUMBER(H14),ISNUMBER(D14),TRUE()))),"",IF(AND(IF(ISNUMBER(F14),ABS(B14-F14)&lt;=J14,TRUE()),IF(ISNUMBER(G14),ABS(C14-G14)&lt;=J14,TRUE()),IF(ISNUMBER(H14),ABS(D14-H14)&lt;=J14,TRUE())),"OK","Check")))</f>
        <v/>
      </c>
      <c r="J14" s="25" t="n">
        <v>0.5</v>
      </c>
    </row>
    <row r="15" customFormat="false" ht="15" hidden="false" customHeight="false" outlineLevel="0" collapsed="false">
      <c r="A15" s="10" t="s">
        <v>130</v>
      </c>
      <c r="B15" s="28" t="s">
        <v>110</v>
      </c>
      <c r="C15" s="26"/>
      <c r="D15" s="26"/>
      <c r="E15" s="2" t="s">
        <v>131</v>
      </c>
    </row>
    <row r="16" customFormat="false" ht="15" hidden="false" customHeight="false" outlineLevel="0" collapsed="false">
      <c r="A16" s="10" t="s">
        <v>132</v>
      </c>
      <c r="B16" s="28" t="s">
        <v>110</v>
      </c>
      <c r="C16" s="26"/>
      <c r="D16" s="26"/>
      <c r="E16" s="2" t="s">
        <v>133</v>
      </c>
      <c r="H16" s="23" t="n">
        <v>-300</v>
      </c>
      <c r="I16" s="24" t="str">
        <f aca="false">IF(COUNT(F16:H16)=0,"",IF(NOT(AND(IF(ISNUMBER(F16),ISNUMBER(B16),TRUE()),IF(ISNUMBER(G16),ISNUMBER(C16),TRUE()),IF(ISNUMBER(H16),ISNUMBER(D16),TRUE()))),"",IF(AND(IF(ISNUMBER(F16),ABS(B16-F16)&lt;=J16,TRUE()),IF(ISNUMBER(G16),ABS(C16-G16)&lt;=J16,TRUE()),IF(ISNUMBER(H16),ABS(D16-H16)&lt;=J16,TRUE())),"OK","Check")))</f>
        <v/>
      </c>
      <c r="J16" s="25" t="n">
        <v>0.5</v>
      </c>
    </row>
    <row r="17" customFormat="false" ht="15" hidden="false" customHeight="false" outlineLevel="0" collapsed="false">
      <c r="A17" s="18" t="s">
        <v>134</v>
      </c>
      <c r="B17" s="28" t="s">
        <v>110</v>
      </c>
      <c r="C17" s="22"/>
      <c r="D17" s="22"/>
      <c r="E17" s="2" t="s">
        <v>135</v>
      </c>
    </row>
    <row r="18" customFormat="false" ht="15" hidden="false" customHeight="false" outlineLevel="0" collapsed="false">
      <c r="A18" s="10" t="s">
        <v>136</v>
      </c>
      <c r="B18" s="28" t="s">
        <v>110</v>
      </c>
      <c r="C18" s="26"/>
      <c r="D18" s="26"/>
      <c r="E18" s="2" t="s">
        <v>137</v>
      </c>
    </row>
    <row r="19" customFormat="false" ht="15" hidden="false" customHeight="false" outlineLevel="0" collapsed="false">
      <c r="A19" s="18" t="s">
        <v>138</v>
      </c>
      <c r="B19" s="28" t="s">
        <v>110</v>
      </c>
      <c r="C19" s="22"/>
      <c r="D19" s="22"/>
      <c r="E19" s="2" t="s">
        <v>139</v>
      </c>
    </row>
    <row r="20" customFormat="false" ht="27.75" hidden="false" customHeight="true" outlineLevel="0" collapsed="false">
      <c r="A20" s="10" t="s">
        <v>140</v>
      </c>
      <c r="B20" s="29" t="s">
        <v>110</v>
      </c>
      <c r="C20" s="27" t="str">
        <f aca="false">IF(OR(C18="",C19=""),"Waiting for formulas",IF(ABS(C18-C19)&lt;0.5,"OK","DOES NOT TIE"))</f>
        <v>Waiting for formulas</v>
      </c>
      <c r="D20" s="27" t="str">
        <f aca="false">IF(OR(D18="",D19=""),"Waiting for formulas",IF(ABS(D18-D19)&lt;0.5,"OK","DOES NOT TIE"))</f>
        <v>Waiting for formulas</v>
      </c>
      <c r="E20" s="2" t="s">
        <v>141</v>
      </c>
    </row>
  </sheetData>
  <conditionalFormatting sqref="C20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"DOES NOT TIE"</formula>
    </cfRule>
  </conditionalFormatting>
  <conditionalFormatting sqref="D20">
    <cfRule type="cellIs" priority="4" operator="equal" aboveAverage="0" equalAverage="0" bottom="0" percent="0" rank="0" text="" dxfId="0">
      <formula>"OK"</formula>
    </cfRule>
    <cfRule type="cellIs" priority="5" operator="equal" aboveAverage="0" equalAverage="0" bottom="0" percent="0" rank="0" text="" dxfId="1">
      <formula>"DOES NOT TIE"</formula>
    </cfRule>
  </conditionalFormatting>
  <conditionalFormatting sqref="I5:I30">
    <cfRule type="cellIs" priority="6" operator="equal" aboveAverage="0" equalAverage="0" bottom="0" percent="0" rank="0" text="" dxfId="0">
      <formula>"OK"</formula>
    </cfRule>
    <cfRule type="cellIs" priority="7" operator="equal" aboveAverage="0" equalAverage="0" bottom="0" percent="0" rank="0" text="" dxfId="1">
      <formula>"Check"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3"/>
    <col collapsed="false" customWidth="true" hidden="false" outlineLevel="0" max="5" min="5" style="0" width="52"/>
    <col collapsed="false" customWidth="true" hidden="false" outlineLevel="0" max="8" min="6" style="0" width="11"/>
    <col collapsed="false" customWidth="true" hidden="false" outlineLevel="0" max="9" min="9" style="0" width="10"/>
    <col collapsed="false" customWidth="true" hidden="false" outlineLevel="0" max="10" min="10" style="0" width="7"/>
  </cols>
  <sheetData>
    <row r="1" customFormat="false" ht="17.35" hidden="false" customHeight="false" outlineLevel="0" collapsed="false">
      <c r="A1" s="1" t="s">
        <v>142</v>
      </c>
    </row>
    <row r="2" customFormat="false" ht="15" hidden="false" customHeight="false" outlineLevel="0" collapsed="false">
      <c r="A2" s="2" t="s">
        <v>143</v>
      </c>
    </row>
    <row r="4" customFormat="false" ht="30" hidden="false" customHeight="true" outlineLevel="0" collapsed="false">
      <c r="A4" s="14" t="s">
        <v>36</v>
      </c>
      <c r="B4" s="15" t="s">
        <v>37</v>
      </c>
      <c r="C4" s="15" t="s">
        <v>38</v>
      </c>
      <c r="D4" s="15" t="s">
        <v>39</v>
      </c>
      <c r="E4" s="15" t="s">
        <v>64</v>
      </c>
      <c r="F4" s="15" t="s">
        <v>65</v>
      </c>
      <c r="G4" s="15" t="s">
        <v>66</v>
      </c>
      <c r="H4" s="15" t="s">
        <v>67</v>
      </c>
      <c r="I4" s="15" t="s">
        <v>68</v>
      </c>
      <c r="J4" s="15" t="s">
        <v>69</v>
      </c>
    </row>
    <row r="5" customFormat="false" ht="15" hidden="false" customHeight="false" outlineLevel="0" collapsed="false">
      <c r="A5" s="18" t="s">
        <v>144</v>
      </c>
      <c r="B5" s="30" t="s">
        <v>110</v>
      </c>
      <c r="C5" s="31"/>
      <c r="D5" s="31"/>
      <c r="E5" s="2" t="s">
        <v>145</v>
      </c>
      <c r="G5" s="32" t="n">
        <v>0.15</v>
      </c>
      <c r="H5" s="32" t="n">
        <v>0.2</v>
      </c>
      <c r="I5" s="24" t="str">
        <f aca="false">IF(COUNT(F5:H5)=0,"",IF(NOT(AND(IF(ISNUMBER(F5),ISNUMBER(B5),TRUE()),IF(ISNUMBER(G5),ISNUMBER(C5),TRUE()),IF(ISNUMBER(H5),ISNUMBER(D5),TRUE()))),"",IF(AND(IF(ISNUMBER(F5),ABS(B5-F5)&lt;=J5,TRUE()),IF(ISNUMBER(G5),ABS(C5-G5)&lt;=J5,TRUE()),IF(ISNUMBER(H5),ABS(D5-H5)&lt;=J5,TRUE())),"OK","Check")))</f>
        <v/>
      </c>
      <c r="J5" s="25" t="n">
        <v>0.001</v>
      </c>
    </row>
    <row r="6" customFormat="false" ht="15" hidden="false" customHeight="false" outlineLevel="0" collapsed="false">
      <c r="A6" s="18" t="s">
        <v>146</v>
      </c>
      <c r="B6" s="31"/>
      <c r="C6" s="31"/>
      <c r="D6" s="31"/>
      <c r="E6" s="2" t="s">
        <v>147</v>
      </c>
      <c r="F6" s="32" t="n">
        <v>0.3</v>
      </c>
      <c r="G6" s="32" t="n">
        <v>0.287</v>
      </c>
      <c r="H6" s="32" t="n">
        <v>0.254</v>
      </c>
      <c r="I6" s="24" t="str">
        <f aca="false">IF(COUNT(F6:H6)=0,"",IF(NOT(AND(IF(ISNUMBER(F6),ISNUMBER(B6),TRUE()),IF(ISNUMBER(G6),ISNUMBER(C6),TRUE()),IF(ISNUMBER(H6),ISNUMBER(D6),TRUE()))),"",IF(AND(IF(ISNUMBER(F6),ABS(B6-F6)&lt;=J6,TRUE()),IF(ISNUMBER(G6),ABS(C6-G6)&lt;=J6,TRUE()),IF(ISNUMBER(H6),ABS(D6-H6)&lt;=J6,TRUE())),"OK","Check")))</f>
        <v/>
      </c>
      <c r="J6" s="25" t="n">
        <v>0.001</v>
      </c>
    </row>
    <row r="7" customFormat="false" ht="15" hidden="false" customHeight="false" outlineLevel="0" collapsed="false">
      <c r="A7" s="18" t="s">
        <v>148</v>
      </c>
      <c r="B7" s="31"/>
      <c r="C7" s="31"/>
      <c r="D7" s="31"/>
      <c r="E7" s="2" t="s">
        <v>149</v>
      </c>
      <c r="F7" s="32" t="n">
        <v>0.078</v>
      </c>
      <c r="G7" s="32" t="n">
        <v>0.071</v>
      </c>
      <c r="H7" s="32" t="n">
        <v>0.054</v>
      </c>
      <c r="I7" s="24" t="str">
        <f aca="false">IF(COUNT(F7:H7)=0,"",IF(NOT(AND(IF(ISNUMBER(F7),ISNUMBER(B7),TRUE()),IF(ISNUMBER(G7),ISNUMBER(C7),TRUE()),IF(ISNUMBER(H7),ISNUMBER(D7),TRUE()))),"",IF(AND(IF(ISNUMBER(F7),ABS(B7-F7)&lt;=J7,TRUE()),IF(ISNUMBER(G7),ABS(C7-G7)&lt;=J7,TRUE()),IF(ISNUMBER(H7),ABS(D7-H7)&lt;=J7,TRUE())),"OK","Check")))</f>
        <v/>
      </c>
      <c r="J7" s="25" t="n">
        <v>0.001</v>
      </c>
    </row>
    <row r="8" customFormat="false" ht="15" hidden="false" customHeight="false" outlineLevel="0" collapsed="false">
      <c r="A8" s="18" t="s">
        <v>150</v>
      </c>
      <c r="B8" s="33"/>
      <c r="C8" s="33"/>
      <c r="D8" s="33"/>
      <c r="E8" s="2" t="s">
        <v>151</v>
      </c>
      <c r="F8" s="34" t="n">
        <v>2.13</v>
      </c>
      <c r="G8" s="34" t="n">
        <v>2</v>
      </c>
      <c r="H8" s="34" t="n">
        <v>1.82</v>
      </c>
      <c r="I8" s="24" t="str">
        <f aca="false">IF(COUNT(F8:H8)=0,"",IF(NOT(AND(IF(ISNUMBER(F8),ISNUMBER(B8),TRUE()),IF(ISNUMBER(G8),ISNUMBER(C8),TRUE()),IF(ISNUMBER(H8),ISNUMBER(D8),TRUE()))),"",IF(AND(IF(ISNUMBER(F8),ABS(B8-F8)&lt;=J8,TRUE()),IF(ISNUMBER(G8),ABS(C8-G8)&lt;=J8,TRUE()),IF(ISNUMBER(H8),ABS(D8-H8)&lt;=J8,TRUE())),"OK","Check")))</f>
        <v/>
      </c>
      <c r="J8" s="25" t="n">
        <v>0.01</v>
      </c>
    </row>
    <row r="9" customFormat="false" ht="15" hidden="false" customHeight="false" outlineLevel="0" collapsed="false">
      <c r="A9" s="18" t="s">
        <v>152</v>
      </c>
      <c r="B9" s="33"/>
      <c r="C9" s="33"/>
      <c r="D9" s="33"/>
      <c r="E9" s="2" t="s">
        <v>153</v>
      </c>
      <c r="F9" s="34" t="n">
        <v>1.47</v>
      </c>
      <c r="G9" s="34" t="n">
        <v>1.32</v>
      </c>
      <c r="H9" s="34" t="n">
        <v>1.14</v>
      </c>
      <c r="I9" s="24" t="str">
        <f aca="false">IF(COUNT(F9:H9)=0,"",IF(NOT(AND(IF(ISNUMBER(F9),ISNUMBER(B9),TRUE()),IF(ISNUMBER(G9),ISNUMBER(C9),TRUE()),IF(ISNUMBER(H9),ISNUMBER(D9),TRUE()))),"",IF(AND(IF(ISNUMBER(F9),ABS(B9-F9)&lt;=J9,TRUE()),IF(ISNUMBER(G9),ABS(C9-G9)&lt;=J9,TRUE()),IF(ISNUMBER(H9),ABS(D9-H9)&lt;=J9,TRUE())),"OK","Check")))</f>
        <v/>
      </c>
      <c r="J9" s="25" t="n">
        <v>0.01</v>
      </c>
    </row>
    <row r="10" customFormat="false" ht="15" hidden="false" customHeight="false" outlineLevel="0" collapsed="false">
      <c r="A10" s="18" t="s">
        <v>154</v>
      </c>
      <c r="B10" s="22"/>
      <c r="C10" s="22"/>
      <c r="D10" s="22"/>
      <c r="E10" s="2" t="s">
        <v>155</v>
      </c>
      <c r="F10" s="23" t="n">
        <v>2100</v>
      </c>
      <c r="G10" s="23" t="n">
        <v>2400</v>
      </c>
      <c r="H10" s="23" t="n">
        <v>3200</v>
      </c>
      <c r="I10" s="24" t="str">
        <f aca="false">IF(COUNT(F10:H10)=0,"",IF(NOT(AND(IF(ISNUMBER(F10),ISNUMBER(B10),TRUE()),IF(ISNUMBER(G10),ISNUMBER(C10),TRUE()),IF(ISNUMBER(H10),ISNUMBER(D10),TRUE()))),"",IF(AND(IF(ISNUMBER(F10),ABS(B10-F10)&lt;=J10,TRUE()),IF(ISNUMBER(G10),ABS(C10-G10)&lt;=J10,TRUE()),IF(ISNUMBER(H10),ABS(D10-H10)&lt;=J10,TRUE())),"OK","Check")))</f>
        <v/>
      </c>
      <c r="J10" s="25" t="n">
        <v>0.5</v>
      </c>
    </row>
    <row r="11" customFormat="false" ht="15" hidden="false" customHeight="false" outlineLevel="0" collapsed="false">
      <c r="A11" s="18" t="s">
        <v>156</v>
      </c>
      <c r="B11" s="35"/>
      <c r="C11" s="35"/>
      <c r="D11" s="35"/>
      <c r="E11" s="2" t="s">
        <v>157</v>
      </c>
      <c r="F11" s="36" t="n">
        <v>1.4</v>
      </c>
      <c r="G11" s="36" t="n">
        <v>1.48</v>
      </c>
      <c r="H11" s="36" t="n">
        <v>1.95</v>
      </c>
      <c r="I11" s="24" t="str">
        <f aca="false">IF(COUNT(F11:H11)=0,"",IF(NOT(AND(IF(ISNUMBER(F11),ISNUMBER(B11),TRUE()),IF(ISNUMBER(G11),ISNUMBER(C11),TRUE()),IF(ISNUMBER(H11),ISNUMBER(D11),TRUE()))),"",IF(AND(IF(ISNUMBER(F11),ABS(B11-F11)&lt;=J11,TRUE()),IF(ISNUMBER(G11),ABS(C11-G11)&lt;=J11,TRUE()),IF(ISNUMBER(H11),ABS(D11-H11)&lt;=J11,TRUE())),"OK","Check")))</f>
        <v/>
      </c>
      <c r="J11" s="25" t="n">
        <v>0.01</v>
      </c>
    </row>
    <row r="12" customFormat="false" ht="15" hidden="false" customHeight="false" outlineLevel="0" collapsed="false">
      <c r="A12" s="18" t="s">
        <v>158</v>
      </c>
      <c r="B12" s="33"/>
      <c r="C12" s="33"/>
      <c r="D12" s="33"/>
      <c r="E12" s="2" t="s">
        <v>159</v>
      </c>
      <c r="F12" s="34" t="n">
        <v>0.66</v>
      </c>
      <c r="G12" s="34" t="n">
        <v>0.67</v>
      </c>
      <c r="H12" s="34" t="n">
        <v>0.78</v>
      </c>
      <c r="I12" s="24" t="str">
        <f aca="false">IF(COUNT(F12:H12)=0,"",IF(NOT(AND(IF(ISNUMBER(F12),ISNUMBER(B12),TRUE()),IF(ISNUMBER(G12),ISNUMBER(C12),TRUE()),IF(ISNUMBER(H12),ISNUMBER(D12),TRUE()))),"",IF(AND(IF(ISNUMBER(F12),ABS(B12-F12)&lt;=J12,TRUE()),IF(ISNUMBER(G12),ABS(C12-G12)&lt;=J12,TRUE()),IF(ISNUMBER(H12),ABS(D12-H12)&lt;=J12,TRUE())),"OK","Check")))</f>
        <v/>
      </c>
      <c r="J12" s="25" t="n">
        <v>0.01</v>
      </c>
    </row>
    <row r="13" customFormat="false" ht="15" hidden="false" customHeight="false" outlineLevel="0" collapsed="false">
      <c r="A13" s="18" t="s">
        <v>160</v>
      </c>
      <c r="B13" s="37"/>
      <c r="C13" s="37"/>
      <c r="D13" s="37"/>
      <c r="E13" s="2" t="s">
        <v>161</v>
      </c>
      <c r="F13" s="38" t="n">
        <v>6</v>
      </c>
      <c r="G13" s="38" t="n">
        <v>5.2</v>
      </c>
      <c r="H13" s="38" t="n">
        <v>3.7</v>
      </c>
      <c r="I13" s="24" t="str">
        <f aca="false">IF(COUNT(F13:H13)=0,"",IF(NOT(AND(IF(ISNUMBER(F13),ISNUMBER(B13),TRUE()),IF(ISNUMBER(G13),ISNUMBER(C13),TRUE()),IF(ISNUMBER(H13),ISNUMBER(D13),TRUE()))),"",IF(AND(IF(ISNUMBER(F13),ABS(B13-F13)&lt;=J13,TRUE()),IF(ISNUMBER(G13),ABS(C13-G13)&lt;=J13,TRUE()),IF(ISNUMBER(H13),ABS(D13-H13)&lt;=J13,TRUE())),"OK","Check")))</f>
        <v/>
      </c>
      <c r="J13" s="25" t="n">
        <v>0.06</v>
      </c>
    </row>
    <row r="14" customFormat="false" ht="15" hidden="false" customHeight="false" outlineLevel="0" collapsed="false">
      <c r="A14" s="18" t="s">
        <v>162</v>
      </c>
      <c r="B14" s="39"/>
      <c r="C14" s="39"/>
      <c r="D14" s="39"/>
      <c r="E14" s="2" t="s">
        <v>163</v>
      </c>
      <c r="F14" s="21" t="n">
        <v>51</v>
      </c>
      <c r="G14" s="21" t="n">
        <v>60</v>
      </c>
      <c r="H14" s="21" t="n">
        <v>77</v>
      </c>
      <c r="I14" s="24" t="str">
        <f aca="false">IF(COUNT(F14:H14)=0,"",IF(NOT(AND(IF(ISNUMBER(F14),ISNUMBER(B14),TRUE()),IF(ISNUMBER(G14),ISNUMBER(C14),TRUE()),IF(ISNUMBER(H14),ISNUMBER(D14),TRUE()))),"",IF(AND(IF(ISNUMBER(F14),ABS(B14-F14)&lt;=J14,TRUE()),IF(ISNUMBER(G14),ABS(C14-G14)&lt;=J14,TRUE()),IF(ISNUMBER(H14),ABS(D14-H14)&lt;=J14,TRUE())),"OK","Check")))</f>
        <v/>
      </c>
      <c r="J14" s="25" t="n">
        <v>0.6</v>
      </c>
    </row>
    <row r="15" customFormat="false" ht="15" hidden="false" customHeight="false" outlineLevel="0" collapsed="false">
      <c r="A15" s="18" t="s">
        <v>164</v>
      </c>
      <c r="B15" s="39"/>
      <c r="C15" s="39"/>
      <c r="D15" s="39"/>
      <c r="E15" s="2" t="s">
        <v>165</v>
      </c>
      <c r="F15" s="21" t="n">
        <v>52</v>
      </c>
      <c r="G15" s="21" t="n">
        <v>58</v>
      </c>
      <c r="H15" s="21" t="n">
        <v>67</v>
      </c>
      <c r="I15" s="24" t="str">
        <f aca="false">IF(COUNT(F15:H15)=0,"",IF(NOT(AND(IF(ISNUMBER(F15),ISNUMBER(B15),TRUE()),IF(ISNUMBER(G15),ISNUMBER(C15),TRUE()),IF(ISNUMBER(H15),ISNUMBER(D15),TRUE()))),"",IF(AND(IF(ISNUMBER(F15),ABS(B15-F15)&lt;=J15,TRUE()),IF(ISNUMBER(G15),ABS(C15-G15)&lt;=J15,TRUE()),IF(ISNUMBER(H15),ABS(D15-H15)&lt;=J15,TRUE())),"OK","Check")))</f>
        <v/>
      </c>
      <c r="J15" s="25" t="n">
        <v>0.6</v>
      </c>
    </row>
    <row r="16" customFormat="false" ht="15" hidden="false" customHeight="false" outlineLevel="0" collapsed="false">
      <c r="A16" s="18" t="s">
        <v>166</v>
      </c>
      <c r="B16" s="39"/>
      <c r="C16" s="39"/>
      <c r="D16" s="39"/>
      <c r="E16" s="2" t="s">
        <v>167</v>
      </c>
      <c r="F16" s="21" t="n">
        <v>47</v>
      </c>
      <c r="G16" s="21" t="n">
        <v>45</v>
      </c>
      <c r="H16" s="21" t="n">
        <v>39</v>
      </c>
      <c r="I16" s="24" t="str">
        <f aca="false">IF(COUNT(F16:H16)=0,"",IF(NOT(AND(IF(ISNUMBER(F16),ISNUMBER(B16),TRUE()),IF(ISNUMBER(G16),ISNUMBER(C16),TRUE()),IF(ISNUMBER(H16),ISNUMBER(D16),TRUE()))),"",IF(AND(IF(ISNUMBER(F16),ABS(B16-F16)&lt;=J16,TRUE()),IF(ISNUMBER(G16),ABS(C16-G16)&lt;=J16,TRUE()),IF(ISNUMBER(H16),ABS(D16-H16)&lt;=J16,TRUE())),"OK","Check")))</f>
        <v/>
      </c>
      <c r="J16" s="25" t="n">
        <v>0.6</v>
      </c>
    </row>
    <row r="17" customFormat="false" ht="15" hidden="false" customHeight="false" outlineLevel="0" collapsed="false">
      <c r="A17" s="18" t="s">
        <v>168</v>
      </c>
      <c r="B17" s="39"/>
      <c r="C17" s="39"/>
      <c r="D17" s="39"/>
      <c r="E17" s="2" t="s">
        <v>169</v>
      </c>
      <c r="F17" s="21" t="n">
        <v>56</v>
      </c>
      <c r="G17" s="21" t="n">
        <v>74</v>
      </c>
      <c r="H17" s="21" t="n">
        <v>105</v>
      </c>
      <c r="I17" s="24" t="str">
        <f aca="false">IF(COUNT(F17:H17)=0,"",IF(NOT(AND(IF(ISNUMBER(F17),ISNUMBER(B17),TRUE()),IF(ISNUMBER(G17),ISNUMBER(C17),TRUE()),IF(ISNUMBER(H17),ISNUMBER(D17),TRUE()))),"",IF(AND(IF(ISNUMBER(F17),ABS(B17-F17)&lt;=J17,TRUE()),IF(ISNUMBER(G17),ABS(C17-G17)&lt;=J17,TRUE()),IF(ISNUMBER(H17),ABS(D17-H17)&lt;=J17,TRUE())),"OK","Check")))</f>
        <v/>
      </c>
      <c r="J17" s="25" t="n">
        <v>0.6</v>
      </c>
    </row>
  </sheetData>
  <conditionalFormatting sqref="I5:I30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"Check"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4" min="2" style="0" width="13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170</v>
      </c>
    </row>
    <row r="2" customFormat="false" ht="15" hidden="false" customHeight="false" outlineLevel="0" collapsed="false">
      <c r="A2" s="2" t="s">
        <v>171</v>
      </c>
    </row>
    <row r="4" customFormat="false" ht="30" hidden="false" customHeight="true" outlineLevel="0" collapsed="false">
      <c r="A4" s="14" t="s">
        <v>172</v>
      </c>
      <c r="B4" s="15" t="s">
        <v>173</v>
      </c>
      <c r="C4" s="15" t="s">
        <v>174</v>
      </c>
      <c r="D4" s="15" t="s">
        <v>175</v>
      </c>
      <c r="E4" s="15" t="s">
        <v>176</v>
      </c>
    </row>
    <row r="5" customFormat="false" ht="15" hidden="false" customHeight="false" outlineLevel="0" collapsed="false">
      <c r="A5" s="18" t="s">
        <v>144</v>
      </c>
      <c r="B5" s="40"/>
      <c r="C5" s="40"/>
      <c r="D5" s="40"/>
      <c r="E5" s="41"/>
    </row>
    <row r="6" customFormat="false" ht="15" hidden="false" customHeight="false" outlineLevel="0" collapsed="false">
      <c r="A6" s="18" t="s">
        <v>146</v>
      </c>
      <c r="B6" s="40"/>
      <c r="C6" s="40"/>
      <c r="D6" s="40"/>
      <c r="E6" s="41"/>
    </row>
    <row r="7" customFormat="false" ht="15" hidden="false" customHeight="false" outlineLevel="0" collapsed="false">
      <c r="A7" s="18" t="s">
        <v>177</v>
      </c>
      <c r="B7" s="40"/>
      <c r="C7" s="40"/>
      <c r="D7" s="40"/>
      <c r="E7" s="41"/>
    </row>
    <row r="8" customFormat="false" ht="15" hidden="false" customHeight="false" outlineLevel="0" collapsed="false">
      <c r="A8" s="18" t="s">
        <v>162</v>
      </c>
      <c r="B8" s="40"/>
      <c r="C8" s="40"/>
      <c r="D8" s="40"/>
      <c r="E8" s="41"/>
    </row>
    <row r="9" customFormat="false" ht="15" hidden="false" customHeight="false" outlineLevel="0" collapsed="false">
      <c r="A9" s="18" t="s">
        <v>164</v>
      </c>
      <c r="B9" s="40"/>
      <c r="C9" s="40"/>
      <c r="D9" s="40"/>
      <c r="E9" s="41"/>
    </row>
    <row r="10" customFormat="false" ht="15" hidden="false" customHeight="false" outlineLevel="0" collapsed="false">
      <c r="A10" s="18" t="s">
        <v>166</v>
      </c>
      <c r="B10" s="40"/>
      <c r="C10" s="40"/>
      <c r="D10" s="40"/>
      <c r="E10" s="41"/>
    </row>
    <row r="11" customFormat="false" ht="15" hidden="false" customHeight="false" outlineLevel="0" collapsed="false">
      <c r="A11" s="18" t="s">
        <v>122</v>
      </c>
      <c r="B11" s="40"/>
      <c r="C11" s="40"/>
      <c r="D11" s="40"/>
      <c r="E11" s="41"/>
    </row>
    <row r="12" customFormat="false" ht="15" hidden="false" customHeight="false" outlineLevel="0" collapsed="false">
      <c r="A12" s="18" t="s">
        <v>178</v>
      </c>
      <c r="B12" s="40"/>
      <c r="C12" s="40"/>
      <c r="D12" s="40"/>
      <c r="E12" s="41"/>
    </row>
    <row r="13" customFormat="false" ht="15" hidden="false" customHeight="false" outlineLevel="0" collapsed="false">
      <c r="A13" s="18" t="s">
        <v>179</v>
      </c>
      <c r="B13" s="40"/>
      <c r="C13" s="40"/>
      <c r="D13" s="40"/>
      <c r="E13" s="41"/>
    </row>
    <row r="14" customFormat="false" ht="15" hidden="false" customHeight="false" outlineLevel="0" collapsed="false">
      <c r="A14" s="18" t="s">
        <v>49</v>
      </c>
      <c r="B14" s="40"/>
      <c r="C14" s="40"/>
      <c r="D14" s="40"/>
      <c r="E14" s="41"/>
    </row>
    <row r="16" customFormat="false" ht="15" hidden="false" customHeight="false" outlineLevel="0" collapsed="false">
      <c r="A16" s="10" t="s">
        <v>180</v>
      </c>
      <c r="B16" s="42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4" min="2" style="0" width="13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181</v>
      </c>
    </row>
    <row r="2" customFormat="false" ht="15" hidden="false" customHeight="false" outlineLevel="0" collapsed="false">
      <c r="A2" s="2" t="s">
        <v>182</v>
      </c>
    </row>
    <row r="4" customFormat="false" ht="30" hidden="false" customHeight="true" outlineLevel="0" collapsed="false">
      <c r="A4" s="14" t="s">
        <v>183</v>
      </c>
      <c r="B4" s="15" t="s">
        <v>173</v>
      </c>
      <c r="C4" s="15" t="s">
        <v>174</v>
      </c>
      <c r="D4" s="15" t="s">
        <v>175</v>
      </c>
      <c r="E4" s="15" t="s">
        <v>184</v>
      </c>
    </row>
    <row r="5" customFormat="false" ht="15" hidden="false" customHeight="false" outlineLevel="0" collapsed="false">
      <c r="A5" s="18" t="s">
        <v>185</v>
      </c>
      <c r="B5" s="43"/>
      <c r="C5" s="43"/>
      <c r="D5" s="43"/>
    </row>
    <row r="6" customFormat="false" ht="15" hidden="false" customHeight="false" outlineLevel="0" collapsed="false">
      <c r="A6" s="18" t="s">
        <v>160</v>
      </c>
      <c r="B6" s="43"/>
      <c r="C6" s="43"/>
      <c r="D6" s="43"/>
    </row>
    <row r="7" customFormat="false" ht="15" hidden="false" customHeight="false" outlineLevel="0" collapsed="false">
      <c r="A7" s="18" t="s">
        <v>156</v>
      </c>
      <c r="B7" s="43"/>
      <c r="C7" s="43"/>
      <c r="D7" s="43"/>
    </row>
    <row r="8" customFormat="false" ht="15" hidden="false" customHeight="false" outlineLevel="0" collapsed="false">
      <c r="A8" s="18" t="s">
        <v>136</v>
      </c>
      <c r="B8" s="43"/>
      <c r="C8" s="43"/>
      <c r="D8" s="43"/>
    </row>
    <row r="9" customFormat="false" ht="15" hidden="false" customHeight="false" outlineLevel="0" collapsed="false">
      <c r="A9" s="18" t="s">
        <v>186</v>
      </c>
      <c r="B9" s="43"/>
      <c r="C9" s="43"/>
      <c r="D9" s="43"/>
    </row>
    <row r="10" customFormat="false" ht="15" hidden="false" customHeight="false" outlineLevel="0" collapsed="false">
      <c r="A10" s="18" t="s">
        <v>187</v>
      </c>
      <c r="B10" s="43"/>
      <c r="C10" s="43"/>
      <c r="D10" s="43"/>
    </row>
    <row r="12" customFormat="false" ht="15" hidden="false" customHeight="false" outlineLevel="0" collapsed="false">
      <c r="A12" s="10" t="s">
        <v>188</v>
      </c>
    </row>
    <row r="13" customFormat="false" ht="15" hidden="false" customHeight="false" outlineLevel="0" collapsed="false">
      <c r="A13" s="41"/>
      <c r="B13" s="41"/>
      <c r="C13" s="41"/>
      <c r="D13" s="41"/>
      <c r="E13" s="4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70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189</v>
      </c>
    </row>
    <row r="2" customFormat="false" ht="15" hidden="false" customHeight="false" outlineLevel="0" collapsed="false">
      <c r="A2" s="2" t="s">
        <v>190</v>
      </c>
    </row>
    <row r="4" customFormat="false" ht="30" hidden="false" customHeight="true" outlineLevel="0" collapsed="false">
      <c r="A4" s="14" t="s">
        <v>191</v>
      </c>
      <c r="B4" s="15" t="s">
        <v>192</v>
      </c>
      <c r="C4" s="15" t="s">
        <v>193</v>
      </c>
    </row>
    <row r="5" customFormat="false" ht="48" hidden="false" customHeight="true" outlineLevel="0" collapsed="false">
      <c r="A5" s="10" t="s">
        <v>194</v>
      </c>
      <c r="B5" s="44"/>
      <c r="C5" s="45" t="s">
        <v>195</v>
      </c>
    </row>
    <row r="6" customFormat="false" ht="48" hidden="false" customHeight="true" outlineLevel="0" collapsed="false">
      <c r="A6" s="10" t="s">
        <v>196</v>
      </c>
      <c r="B6" s="44"/>
      <c r="C6" s="45" t="s">
        <v>197</v>
      </c>
    </row>
    <row r="7" customFormat="false" ht="48" hidden="false" customHeight="true" outlineLevel="0" collapsed="false">
      <c r="A7" s="10" t="s">
        <v>198</v>
      </c>
      <c r="B7" s="44"/>
      <c r="C7" s="45" t="s">
        <v>199</v>
      </c>
    </row>
    <row r="8" customFormat="false" ht="48" hidden="false" customHeight="true" outlineLevel="0" collapsed="false">
      <c r="A8" s="10" t="s">
        <v>200</v>
      </c>
      <c r="B8" s="44"/>
      <c r="C8" s="45" t="s">
        <v>201</v>
      </c>
    </row>
    <row r="9" customFormat="false" ht="48" hidden="false" customHeight="true" outlineLevel="0" collapsed="false">
      <c r="A9" s="10" t="s">
        <v>202</v>
      </c>
      <c r="B9" s="44"/>
      <c r="C9" s="45" t="s">
        <v>203</v>
      </c>
    </row>
    <row r="10" customFormat="false" ht="48" hidden="false" customHeight="true" outlineLevel="0" collapsed="false">
      <c r="A10" s="10" t="s">
        <v>204</v>
      </c>
      <c r="B10" s="44"/>
      <c r="C10" s="45" t="s">
        <v>205</v>
      </c>
    </row>
    <row r="11" customFormat="false" ht="48" hidden="false" customHeight="true" outlineLevel="0" collapsed="false">
      <c r="A11" s="10" t="s">
        <v>206</v>
      </c>
      <c r="B11" s="44"/>
      <c r="C11" s="45" t="s">
        <v>207</v>
      </c>
    </row>
    <row r="12" customFormat="false" ht="48" hidden="false" customHeight="true" outlineLevel="0" collapsed="false">
      <c r="A12" s="10" t="s">
        <v>208</v>
      </c>
      <c r="B12" s="44"/>
      <c r="C12" s="45" t="s">
        <v>209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2026-10-20T13:27:30Z</dcterms:created>
  <dc:creator>openpyxl</dc:creator>
  <dc:description/>
  <dc:language>en-US</dc:language>
  <cp:lastModifiedBy/>
  <dcterms:modified xsi:type="dcterms:W3CDTF">2026-10-20T13:27:30Z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